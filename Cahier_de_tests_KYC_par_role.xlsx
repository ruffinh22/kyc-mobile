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 générales" sheetId="1" state="visible" r:id="rId1"/>
    <sheet xmlns:r="http://schemas.openxmlformats.org/officeDocument/2006/relationships" name="Cas de tests" sheetId="2" state="visible" r:id="rId2"/>
    <sheet xmlns:r="http://schemas.openxmlformats.org/officeDocument/2006/relationships" name="Environnements &amp; rôles" sheetId="3" state="visible" r:id="rId3"/>
    <sheet xmlns:r="http://schemas.openxmlformats.org/officeDocument/2006/relationships" name="Données de test" sheetId="4" state="visible" r:id="rId4"/>
    <sheet xmlns:r="http://schemas.openxmlformats.org/officeDocument/2006/relationships" name="Tableau de b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FF1F3864"/>
      <sz val="18"/>
    </font>
    <font>
      <name val="Arial"/>
      <b val="1"/>
      <color rgb="FFFFFFFF"/>
      <sz val="16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1F3864"/>
      <sz val="16"/>
    </font>
    <font>
      <name val="Arial"/>
      <b val="1"/>
      <color rgb="FFC00000"/>
      <sz val="16"/>
    </font>
    <font>
      <name val="Arial"/>
      <b val="1"/>
      <color rgb="FFBF8F00"/>
      <sz val="16"/>
    </font>
    <font>
      <name val="Arial"/>
      <b val="1"/>
      <color rgb="FF548235"/>
      <sz val="16"/>
    </font>
    <font>
      <name val="Arial"/>
      <b val="1"/>
      <color rgb="FF595959"/>
      <sz val="16"/>
    </font>
    <font>
      <name val="Arial"/>
      <b val="1"/>
      <color rgb="FF1F3864"/>
      <sz val="14"/>
    </font>
    <font>
      <name val="Arial"/>
      <i val="1"/>
      <color rgb="FF7F7F7F"/>
      <sz val="8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395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00FFF2CC"/>
      </patternFill>
    </fill>
    <fill>
      <patternFill patternType="solid">
        <fgColor rgb="FFFAFAFA"/>
      </patternFill>
    </fill>
    <fill>
      <patternFill patternType="solid">
        <fgColor rgb="FFC00000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595959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medium">
        <color rgb="FF404040"/>
      </top>
      <bottom style="thin">
        <color rgb="FFB7B7B7"/>
      </bottom>
    </border>
    <border/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3" fillId="3" borderId="3" applyAlignment="1" pivotButton="0" quotePrefix="0" xfId="0">
      <alignment horizontal="left" vertical="center" indent="1"/>
    </xf>
    <xf numFmtId="0" fontId="7" fillId="4" borderId="3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Cahier de tests</author>
  </authors>
  <commentList>
    <comment ref="B8" authorId="0" shapeId="0">
      <text>
        <t>Même compte AG001 utilisé dans les deux contextes (mobile et web). À adapter si des comptes distincts sont créés pour chaque usage.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Cahier de tests KYC</t>
        </is>
      </c>
    </row>
    <row r="3">
      <c r="A3" t="inlineStr">
        <is>
          <t>Projet</t>
        </is>
      </c>
      <c r="B3" t="inlineStr">
        <is>
          <t>KYC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Date</t>
        </is>
      </c>
      <c r="B5" t="inlineStr">
        <is>
          <t>2026-08-24</t>
        </is>
      </c>
    </row>
    <row r="7">
      <c r="A7" t="inlineStr">
        <is>
          <t>Note</t>
        </is>
      </c>
      <c r="B7" s="2" t="inlineStr">
        <is>
          <t>Fichier généré automatiquement car le fichier source Excel d'entrée n'était pas présent.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30" customWidth="1" min="4" max="4"/>
    <col width="9" customWidth="1" min="5" max="5"/>
    <col width="32" customWidth="1" min="6" max="6"/>
    <col width="26" customWidth="1" min="7" max="7"/>
    <col width="32" customWidth="1" min="8" max="8"/>
    <col width="36" customWidth="1" min="9" max="9"/>
    <col width="15" customWidth="1" min="10" max="10"/>
    <col width="26" customWidth="1" min="11" max="11"/>
  </cols>
  <sheetData>
    <row r="1" ht="33.75" customHeight="1">
      <c r="A1" s="3" t="inlineStr">
        <is>
          <t>8. CAS DE TESTS DÉTAILLÉS — ORGANISÉS PAR PROFIL UTILISATEUR</t>
        </is>
      </c>
    </row>
    <row r="2" ht="20" customHeight="1">
      <c r="A2" s="4" t="inlineStr">
        <is>
          <t>Ordre de lecture : Agent de terrain (mobile) -&gt; Agent backoffice (web) -&gt; Superviseur -&gt; Administrateur -&gt; Utilisateur public. 86 cas de tests au total, réattribués et recontextualisés selon le rôle qui exécute l'action (5 profils).</t>
        </is>
      </c>
    </row>
    <row r="3" ht="31.5" customHeight="1">
      <c r="A3" s="5" t="inlineStr">
        <is>
          <t>ID</t>
        </is>
      </c>
      <c r="B3" s="5" t="inlineStr">
        <is>
          <t>Rôle utilisateur</t>
        </is>
      </c>
      <c r="C3" s="5" t="inlineStr">
        <is>
          <t>Catégorie</t>
        </is>
      </c>
      <c r="D3" s="5" t="inlineStr">
        <is>
          <t>Fonction</t>
        </is>
      </c>
      <c r="E3" s="5" t="inlineStr">
        <is>
          <t>Priorité</t>
        </is>
      </c>
      <c r="F3" s="5" t="inlineStr">
        <is>
          <t>Objectif</t>
        </is>
      </c>
      <c r="G3" s="5" t="inlineStr">
        <is>
          <t>Préconditions</t>
        </is>
      </c>
      <c r="H3" s="5" t="inlineStr">
        <is>
          <t>Étapes</t>
        </is>
      </c>
      <c r="I3" s="5" t="inlineStr">
        <is>
          <t>Résultat attendu</t>
        </is>
      </c>
      <c r="J3" s="5" t="inlineStr">
        <is>
          <t>Statut</t>
        </is>
      </c>
      <c r="K3" s="5" t="inlineStr">
        <is>
          <t>Commentaires / Bug lié</t>
        </is>
      </c>
    </row>
    <row r="4" ht="60" customHeight="1">
      <c r="A4" s="6" t="inlineStr">
        <is>
          <t>AGT-T-01</t>
        </is>
      </c>
      <c r="B4" s="7" t="inlineStr">
        <is>
          <t>Agent de terrain (application mobile)</t>
        </is>
      </c>
      <c r="C4" s="8" t="inlineStr">
        <is>
          <t>Authentification et sécurité</t>
        </is>
      </c>
      <c r="D4" s="8" t="inlineStr">
        <is>
          <t>Connexion valide (mobile)</t>
        </is>
      </c>
      <c r="E4" s="9" t="inlineStr">
        <is>
          <t>P0</t>
        </is>
      </c>
      <c r="F4" s="8" t="inlineStr">
        <is>
          <t>Vérifier qu'un agent de terrain peut se connecter sur l'application mobile</t>
        </is>
      </c>
      <c r="G4" s="8" t="inlineStr">
        <is>
          <t>Compte agent actif (AG001)</t>
        </is>
      </c>
      <c r="H4" s="8" t="inlineStr">
        <is>
          <t>Saisir identifiant et mot de passe valides sur l'application mobile</t>
        </is>
      </c>
      <c r="I4" s="8" t="inlineStr">
        <is>
          <t>Connexion réussie, token généré, accès à l'interface de terrain</t>
        </is>
      </c>
      <c r="J4" s="9" t="inlineStr">
        <is>
          <t>À exécuter</t>
        </is>
      </c>
      <c r="K4" s="8" t="inlineStr">
        <is>
          <t>Réf. originale : AUTH-01</t>
        </is>
      </c>
    </row>
    <row r="5" ht="60" customHeight="1">
      <c r="A5" s="10" t="inlineStr">
        <is>
          <t>AGT-T-02</t>
        </is>
      </c>
      <c r="B5" s="11" t="inlineStr">
        <is>
          <t>Agent de terrain (application mobile)</t>
        </is>
      </c>
      <c r="C5" s="12" t="inlineStr">
        <is>
          <t>Authentification et sécurité</t>
        </is>
      </c>
      <c r="D5" s="12" t="inlineStr">
        <is>
          <t>Connexion invalide (mobile)</t>
        </is>
      </c>
      <c r="E5" s="13" t="inlineStr">
        <is>
          <t>P0</t>
        </is>
      </c>
      <c r="F5" s="12" t="inlineStr">
        <is>
          <t>Vérifier la gestion des identifiants incorrects sur mobile</t>
        </is>
      </c>
      <c r="G5" s="12" t="inlineStr">
        <is>
          <t>Compte agent existant</t>
        </is>
      </c>
      <c r="H5" s="12" t="inlineStr">
        <is>
          <t>Saisir un mot de passe erroné sur l'application mobile</t>
        </is>
      </c>
      <c r="I5" s="12" t="inlineStr">
        <is>
          <t>Erreur affichée, aucune session créée</t>
        </is>
      </c>
      <c r="J5" s="13" t="inlineStr">
        <is>
          <t>À exécuter</t>
        </is>
      </c>
      <c r="K5" s="12" t="inlineStr">
        <is>
          <t>Réf. originale : AUTH-02</t>
        </is>
      </c>
    </row>
    <row r="6" ht="60" customHeight="1">
      <c r="A6" s="10" t="inlineStr">
        <is>
          <t>AGT-T-03</t>
        </is>
      </c>
      <c r="B6" s="11" t="inlineStr">
        <is>
          <t>Agent de terrain (application mobile)</t>
        </is>
      </c>
      <c r="C6" s="12" t="inlineStr">
        <is>
          <t>Authentification et sécurité</t>
        </is>
      </c>
      <c r="D6" s="12" t="inlineStr">
        <is>
          <t>Déconnexion (mobile)</t>
        </is>
      </c>
      <c r="E6" s="13" t="inlineStr">
        <is>
          <t>P0</t>
        </is>
      </c>
      <c r="F6" s="12" t="inlineStr">
        <is>
          <t>Vérifier la fin de session sur l'application mobile</t>
        </is>
      </c>
      <c r="G6" s="12" t="inlineStr">
        <is>
          <t>Agent terrain connecté</t>
        </is>
      </c>
      <c r="H6" s="12" t="inlineStr">
        <is>
          <t>Cliquer sur déconnexion</t>
        </is>
      </c>
      <c r="I6" s="12" t="inlineStr">
        <is>
          <t>Session terminée, accès refusé après déconnexion</t>
        </is>
      </c>
      <c r="J6" s="13" t="inlineStr">
        <is>
          <t>À exécuter</t>
        </is>
      </c>
      <c r="K6" s="12" t="inlineStr">
        <is>
          <t>Réf. originale : AUTH-03</t>
        </is>
      </c>
    </row>
    <row r="7" ht="60" customHeight="1">
      <c r="A7" s="10" t="inlineStr">
        <is>
          <t>AGT-T-04</t>
        </is>
      </c>
      <c r="B7" s="11" t="inlineStr">
        <is>
          <t>Agent de terrain (application mobile)</t>
        </is>
      </c>
      <c r="C7" s="12" t="inlineStr">
        <is>
          <t>Authentification et sécurité</t>
        </is>
      </c>
      <c r="D7" s="12" t="inlineStr">
        <is>
          <t>Changement de mot de passe (mobile)</t>
        </is>
      </c>
      <c r="E7" s="13" t="inlineStr">
        <is>
          <t>P1</t>
        </is>
      </c>
      <c r="F7" s="12" t="inlineStr">
        <is>
          <t>Vérifier la mise à jour du mot de passe depuis l'application mobile</t>
        </is>
      </c>
      <c r="G7" s="12" t="inlineStr">
        <is>
          <t>Agent terrain connecté</t>
        </is>
      </c>
      <c r="H7" s="12" t="inlineStr">
        <is>
          <t>Changer le mot de passe via l'interface mobile</t>
        </is>
      </c>
      <c r="I7" s="12" t="inlineStr">
        <is>
          <t>Mot de passe modifié, nouvelle connexion possible</t>
        </is>
      </c>
      <c r="J7" s="13" t="inlineStr">
        <is>
          <t>À exécuter</t>
        </is>
      </c>
      <c r="K7" s="12" t="inlineStr">
        <is>
          <t>Réf. originale : AUTH-04</t>
        </is>
      </c>
    </row>
    <row r="8" ht="60" customHeight="1">
      <c r="A8" s="10" t="inlineStr">
        <is>
          <t>AGT-T-05</t>
        </is>
      </c>
      <c r="B8" s="11" t="inlineStr">
        <is>
          <t>Agent de terrain (application mobile)</t>
        </is>
      </c>
      <c r="C8" s="12" t="inlineStr">
        <is>
          <t>Authentification et sécurité</t>
        </is>
      </c>
      <c r="D8" s="12" t="inlineStr">
        <is>
          <t>Session expirée / relance automatique</t>
        </is>
      </c>
      <c r="E8" s="13" t="inlineStr">
        <is>
          <t>P1</t>
        </is>
      </c>
      <c r="F8" s="12" t="inlineStr">
        <is>
          <t>Vérifier la reprise de session après expiration de token ou timeout réseau</t>
        </is>
      </c>
      <c r="G8" s="12" t="inlineStr">
        <is>
          <t>Agent connecté puis session expirée</t>
        </is>
      </c>
      <c r="H8" s="12" t="inlineStr">
        <is>
          <t>Rester inactif, réessayer une action, relancer l'application</t>
        </is>
      </c>
      <c r="I8" s="12" t="inlineStr">
        <is>
          <t>Le système redemande une authentification si nécessaire et ne casse pas la session active</t>
        </is>
      </c>
      <c r="J8" s="13" t="inlineStr">
        <is>
          <t>À exécuter</t>
        </is>
      </c>
      <c r="K8" s="12" t="inlineStr">
        <is>
          <t>Sécurité / reconnexion mobile</t>
        </is>
      </c>
    </row>
    <row r="9" ht="60" customHeight="1">
      <c r="A9" s="10" t="inlineStr">
        <is>
          <t>AGT-T-06</t>
        </is>
      </c>
      <c r="B9" s="11" t="inlineStr">
        <is>
          <t>Agent de terrain (application mobile)</t>
        </is>
      </c>
      <c r="C9" s="12" t="inlineStr">
        <is>
          <t>Gestion des dossiers</t>
        </is>
      </c>
      <c r="D9" s="12" t="inlineStr">
        <is>
          <t>Création d'un dossier depuis l'application mobile</t>
        </is>
      </c>
      <c r="E9" s="13" t="inlineStr">
        <is>
          <t>P0</t>
        </is>
      </c>
      <c r="F9" s="12" t="inlineStr">
        <is>
          <t>Vérifier la création complète d'un dossier par un agent d'acquisition</t>
        </is>
      </c>
      <c r="G9" s="12" t="inlineStr">
        <is>
          <t>Application mobile installée, agent terrain connecté</t>
        </is>
      </c>
      <c r="H9" s="12" t="inlineStr">
        <is>
          <t>Se connecter sur l'app mobile, saisir les données du dossier, joindre les documents/photos, valider</t>
        </is>
      </c>
      <c r="I9" s="12" t="inlineStr">
        <is>
          <t>Dossier créé avec succès, données persistées, statut initial correct</t>
        </is>
      </c>
      <c r="J9" s="13" t="inlineStr">
        <is>
          <t>À exécuter</t>
        </is>
      </c>
      <c r="K9" s="12" t="inlineStr">
        <is>
          <t>Réf. originale : DOS-01A</t>
        </is>
      </c>
    </row>
    <row r="10" ht="60" customHeight="1">
      <c r="A10" s="10" t="inlineStr">
        <is>
          <t>AGT-T-07</t>
        </is>
      </c>
      <c r="B10" s="11" t="inlineStr">
        <is>
          <t>Agent de terrain (application mobile)</t>
        </is>
      </c>
      <c r="C10" s="12" t="inlineStr">
        <is>
          <t>Gestion des dossiers</t>
        </is>
      </c>
      <c r="D10" s="12" t="inlineStr">
        <is>
          <t>Saisie partielle puis reprise</t>
        </is>
      </c>
      <c r="E10" s="13" t="inlineStr">
        <is>
          <t>P0</t>
        </is>
      </c>
      <c r="F10" s="12" t="inlineStr">
        <is>
          <t>Vérifier la reprise d'un dossier incomplet après fermeture ou perte de connexion</t>
        </is>
      </c>
      <c r="G10" s="12" t="inlineStr">
        <is>
          <t>Formulaire incomplet en cours de saisie</t>
        </is>
      </c>
      <c r="H10" s="12" t="inlineStr">
        <is>
          <t>Fermer l'application, revenir plus tard ou reconnecter, reprendre le dossier</t>
        </is>
      </c>
      <c r="I10" s="12" t="inlineStr">
        <is>
          <t>Les données non finales sont sauvegardées ou clairement restaurées sans perte</t>
        </is>
      </c>
      <c r="J10" s="13" t="inlineStr">
        <is>
          <t>À exécuter</t>
        </is>
      </c>
      <c r="K10" s="12" t="inlineStr">
        <is>
          <t>Récupération mobile</t>
        </is>
      </c>
    </row>
    <row r="11" ht="60" customHeight="1">
      <c r="A11" s="10" t="inlineStr">
        <is>
          <t>AGT-T-08</t>
        </is>
      </c>
      <c r="B11" s="11" t="inlineStr">
        <is>
          <t>Agent de terrain (application mobile)</t>
        </is>
      </c>
      <c r="C11" s="12" t="inlineStr">
        <is>
          <t>Gestion des dossiers</t>
        </is>
      </c>
      <c r="D11" s="12" t="inlineStr">
        <is>
          <t>Validation des champs obligatoires</t>
        </is>
      </c>
      <c r="E11" s="13" t="inlineStr">
        <is>
          <t>P0</t>
        </is>
      </c>
      <c r="F11" s="12" t="inlineStr">
        <is>
          <t>Vérifier le blocage des données incomplètes ou invalides</t>
        </is>
      </c>
      <c r="G11" s="12" t="inlineStr">
        <is>
          <t>Agent terrain connecté</t>
        </is>
      </c>
      <c r="H11" s="12" t="inlineStr">
        <is>
          <t>Soumettre un dossier avec champs vides, numéros invalides, dates impossibles</t>
        </is>
      </c>
      <c r="I11" s="12" t="inlineStr">
        <is>
          <t>Le système affiche les erreurs attendues et empêche la soumission</t>
        </is>
      </c>
      <c r="J11" s="13" t="inlineStr">
        <is>
          <t>À exécuter</t>
        </is>
      </c>
      <c r="K11" s="12" t="inlineStr">
        <is>
          <t>Validation métier</t>
        </is>
      </c>
    </row>
    <row r="12" ht="60" customHeight="1">
      <c r="A12" s="10" t="inlineStr">
        <is>
          <t>AGT-T-09</t>
        </is>
      </c>
      <c r="B12" s="11" t="inlineStr">
        <is>
          <t>Agent de terrain (application mobile)</t>
        </is>
      </c>
      <c r="C12" s="12" t="inlineStr">
        <is>
          <t>Gestion des dossiers</t>
        </is>
      </c>
      <c r="D12" s="12" t="inlineStr">
        <is>
          <t>Upload photo CNI / recto / verso / selfie</t>
        </is>
      </c>
      <c r="E12" s="13" t="inlineStr">
        <is>
          <t>P0</t>
        </is>
      </c>
      <c r="F12" s="12" t="inlineStr">
        <is>
          <t>Vérifier la prise et l'upload des captures documentaires sur mobile</t>
        </is>
      </c>
      <c r="G12" s="12" t="inlineStr">
        <is>
          <t>Dossier en cours, autorisations caméra &amp; stockage accordées</t>
        </is>
      </c>
      <c r="H12" s="12" t="inlineStr">
        <is>
          <t>Prendre les photos, vérifier la qualité, charger et confirmer</t>
        </is>
      </c>
      <c r="I12" s="12" t="inlineStr">
        <is>
          <t>Toutes les photos sont enregistrées, liées au dossier, puis visibles dans le détail</t>
        </is>
      </c>
      <c r="J12" s="13" t="inlineStr">
        <is>
          <t>À exécuter</t>
        </is>
      </c>
      <c r="K12" s="12" t="inlineStr">
        <is>
          <t>Capture / OCR</t>
        </is>
      </c>
    </row>
    <row r="13" ht="60" customHeight="1">
      <c r="A13" s="10" t="inlineStr">
        <is>
          <t>AGT-T-10</t>
        </is>
      </c>
      <c r="B13" s="11" t="inlineStr">
        <is>
          <t>Agent de terrain (application mobile)</t>
        </is>
      </c>
      <c r="C13" s="12" t="inlineStr">
        <is>
          <t>Gestion des dossiers</t>
        </is>
      </c>
      <c r="D13" s="12" t="inlineStr">
        <is>
          <t>OCR / extraction automatique depuis photo doc</t>
        </is>
      </c>
      <c r="E13" s="13" t="inlineStr">
        <is>
          <t>P0</t>
        </is>
      </c>
      <c r="F13" s="12" t="inlineStr">
        <is>
          <t>Vérifier la récupération des données depuis l'OCR ou la préremplissage côté mobile</t>
        </is>
      </c>
      <c r="G13" s="12" t="inlineStr">
        <is>
          <t>Photo d'identité valide présente</t>
        </is>
      </c>
      <c r="H13" s="12" t="inlineStr">
        <is>
          <t>Lancer l'OCR automatique depuis l'interface mobile</t>
        </is>
      </c>
      <c r="I13" s="12" t="inlineStr">
        <is>
          <t>Les champs détectés sont préremplis et les valeurs sont cohérentes ; les zones non fiables restent modifiables</t>
        </is>
      </c>
      <c r="J13" s="13" t="inlineStr">
        <is>
          <t>À exécuter</t>
        </is>
      </c>
      <c r="K13" s="12" t="inlineStr">
        <is>
          <t>Extraction de données</t>
        </is>
      </c>
    </row>
    <row r="14" ht="60" customHeight="1">
      <c r="A14" s="10" t="inlineStr">
        <is>
          <t>AGT-T-11</t>
        </is>
      </c>
      <c r="B14" s="11" t="inlineStr">
        <is>
          <t>Agent de terrain (application mobile)</t>
        </is>
      </c>
      <c r="C14" s="12" t="inlineStr">
        <is>
          <t>Gestion des dossiers</t>
        </is>
      </c>
      <c r="D14" s="12" t="inlineStr">
        <is>
          <t>Fallback OCR indisponible / erreur réseau</t>
        </is>
      </c>
      <c r="E14" s="13" t="inlineStr">
        <is>
          <t>P1</t>
        </is>
      </c>
      <c r="F14" s="12" t="inlineStr">
        <is>
          <t>Vérifier le comportement si l'OCR ne répond pas ou AWSTextract est indisponible</t>
        </is>
      </c>
      <c r="G14" s="12" t="inlineStr">
        <is>
          <t>Service OCR temporairement indisponible ou réseau instable</t>
        </is>
      </c>
      <c r="H14" s="12" t="inlineStr">
        <is>
          <t>Actionner l'OCR et tenter ensuite la saisie manuelle</t>
        </is>
      </c>
      <c r="I14" s="12" t="inlineStr">
        <is>
          <t>L'application affiche un message explicite, permet la saisie manuelle et évite un blocage total</t>
        </is>
      </c>
      <c r="J14" s="13" t="inlineStr">
        <is>
          <t>À exécuter</t>
        </is>
      </c>
      <c r="K14" s="12" t="inlineStr">
        <is>
          <t>Robustesse / fallback</t>
        </is>
      </c>
    </row>
    <row r="15" ht="60" customHeight="1">
      <c r="A15" s="10" t="inlineStr">
        <is>
          <t>AGT-T-12</t>
        </is>
      </c>
      <c r="B15" s="11" t="inlineStr">
        <is>
          <t>Agent de terrain (application mobile)</t>
        </is>
      </c>
      <c r="C15" s="12" t="inlineStr">
        <is>
          <t>Vérification faciale et liveness</t>
        </is>
      </c>
      <c r="D15" s="12" t="inlineStr">
        <is>
          <t>Création de session liveness (capture terrain)</t>
        </is>
      </c>
      <c r="E15" s="13" t="inlineStr">
        <is>
          <t>P0</t>
        </is>
      </c>
      <c r="F15" s="12" t="inlineStr">
        <is>
          <t>Vérifier la création d'une session Rekognition lors de l'acquisition</t>
        </is>
      </c>
      <c r="G15" s="12" t="inlineStr">
        <is>
          <t>Dossier créé sur mobile, configuration AWS disponible</t>
        </is>
      </c>
      <c r="H15" s="12" t="inlineStr">
        <is>
          <t>Lancer la procédure liveness depuis l'application mobile pendant l'acquisition</t>
        </is>
      </c>
      <c r="I15" s="12" t="inlineStr">
        <is>
          <t>Session créée avec sessionId valide</t>
        </is>
      </c>
      <c r="J15" s="13" t="inlineStr">
        <is>
          <t>À exécuter</t>
        </is>
      </c>
      <c r="K15" s="12" t="inlineStr">
        <is>
          <t>Réf. originale : LIV-01</t>
        </is>
      </c>
    </row>
    <row r="16" ht="60" customHeight="1">
      <c r="A16" s="10" t="inlineStr">
        <is>
          <t>AGT-T-13</t>
        </is>
      </c>
      <c r="B16" s="11" t="inlineStr">
        <is>
          <t>Agent de terrain (application mobile)</t>
        </is>
      </c>
      <c r="C16" s="12" t="inlineStr">
        <is>
          <t>Vérification faciale et liveness</t>
        </is>
      </c>
      <c r="D16" s="12" t="inlineStr">
        <is>
          <t>Cas d'échec liveness (capture terrain)</t>
        </is>
      </c>
      <c r="E16" s="13" t="inlineStr">
        <is>
          <t>P1</t>
        </is>
      </c>
      <c r="F16" s="12" t="inlineStr">
        <is>
          <t>Vérifier la gestion d'un échec de capture liveness sur le terrain</t>
        </is>
      </c>
      <c r="G16" s="12" t="inlineStr">
        <is>
          <t>Session liveness en cours sur mobile</t>
        </is>
      </c>
      <c r="H16" s="12" t="inlineStr">
        <is>
          <t>Simuler un échec de validation pendant la capture</t>
        </is>
      </c>
      <c r="I16" s="12" t="inlineStr">
        <is>
          <t>Erreur explicitement remontée à l'agent et au système</t>
        </is>
      </c>
      <c r="J16" s="13" t="inlineStr">
        <is>
          <t>À exécuter</t>
        </is>
      </c>
      <c r="K16" s="12" t="inlineStr">
        <is>
          <t>Réf. originale : LIV-04</t>
        </is>
      </c>
    </row>
    <row r="17" ht="60" customHeight="1">
      <c r="A17" s="10" t="inlineStr">
        <is>
          <t>AGT-T-14</t>
        </is>
      </c>
      <c r="B17" s="11" t="inlineStr">
        <is>
          <t>Agent de terrain (application mobile)</t>
        </is>
      </c>
      <c r="C17" s="12" t="inlineStr">
        <is>
          <t>Vérification faciale et liveness</t>
        </is>
      </c>
      <c r="D17" s="12" t="inlineStr">
        <is>
          <t>Liveness avec mauvaise luminosité / visage masqué / mouvement</t>
        </is>
      </c>
      <c r="E17" s="13" t="inlineStr">
        <is>
          <t>P1</t>
        </is>
      </c>
      <c r="F17" s="12" t="inlineStr">
        <is>
          <t>Vérifier les cas de rejet de liveness par qualité de capture</t>
        </is>
      </c>
      <c r="G17" s="12" t="inlineStr">
        <is>
          <t>Exécuter des captures avec mauvais éclairage, masque, angle incorrect, mouvement excessif</t>
        </is>
      </c>
      <c r="H17" s="12" t="inlineStr">
        <is>
          <t>Système rejette correctement et guide l'utilisateur vers une nouvelle capture</t>
        </is>
      </c>
      <c r="I17" s="12" t="inlineStr">
        <is>
          <t>Qualité de capture</t>
        </is>
      </c>
      <c r="J17" s="13" t="inlineStr">
        <is>
          <t>À exécuter</t>
        </is>
      </c>
      <c r="K17" s="12" t="inlineStr"/>
    </row>
    <row r="18" ht="60" customHeight="1">
      <c r="A18" s="10" t="inlineStr">
        <is>
          <t>AGT-T-15</t>
        </is>
      </c>
      <c r="B18" s="11" t="inlineStr">
        <is>
          <t>Agent de terrain (application mobile)</t>
        </is>
      </c>
      <c r="C18" s="12" t="inlineStr">
        <is>
          <t>GSM / Gross Add</t>
        </is>
      </c>
      <c r="D18" s="12" t="inlineStr">
        <is>
          <t>Création d'une saisie GSM</t>
        </is>
      </c>
      <c r="E18" s="13" t="inlineStr">
        <is>
          <t>P0</t>
        </is>
      </c>
      <c r="F18" s="12" t="inlineStr">
        <is>
          <t>Vérifier la création d'une nouvelle saisie GSM par l'agent terrain</t>
        </is>
      </c>
      <c r="G18" s="12" t="inlineStr">
        <is>
          <t>Agent terrain connecté</t>
        </is>
      </c>
      <c r="H18" s="12" t="inlineStr">
        <is>
          <t>Remplir les champs requis et valider depuis le terrain</t>
        </is>
      </c>
      <c r="I18" s="12" t="inlineStr">
        <is>
          <t>Saisie enregistrée et visible dans la liste</t>
        </is>
      </c>
      <c r="J18" s="13" t="inlineStr">
        <is>
          <t>À exécuter</t>
        </is>
      </c>
      <c r="K18" s="12" t="inlineStr">
        <is>
          <t>Réf. originale : GSM-01</t>
        </is>
      </c>
    </row>
    <row r="19" ht="60" customHeight="1">
      <c r="A19" s="10" t="inlineStr">
        <is>
          <t>AGT-T-16</t>
        </is>
      </c>
      <c r="B19" s="11" t="inlineStr">
        <is>
          <t>Agent de terrain (application mobile)</t>
        </is>
      </c>
      <c r="C19" s="12" t="inlineStr">
        <is>
          <t>GSM / Gross Add</t>
        </is>
      </c>
      <c r="D19" s="12" t="inlineStr">
        <is>
          <t>Modification d'une saisie</t>
        </is>
      </c>
      <c r="E19" s="13" t="inlineStr">
        <is>
          <t>P1</t>
        </is>
      </c>
      <c r="F19" s="12" t="inlineStr">
        <is>
          <t>Vérifier la mise à jour d'une saisie existante</t>
        </is>
      </c>
      <c r="G19" s="12" t="inlineStr">
        <is>
          <t>Saisie existante créée par l'agent</t>
        </is>
      </c>
      <c r="H19" s="12" t="inlineStr">
        <is>
          <t>Modifier un champ et sauvegarder</t>
        </is>
      </c>
      <c r="I19" s="12" t="inlineStr">
        <is>
          <t>Mise à jour persistée</t>
        </is>
      </c>
      <c r="J19" s="13" t="inlineStr">
        <is>
          <t>À exécuter</t>
        </is>
      </c>
      <c r="K19" s="12" t="inlineStr">
        <is>
          <t>Réf. originale : GSM-02</t>
        </is>
      </c>
    </row>
    <row r="20" ht="60" customHeight="1">
      <c r="A20" s="10" t="inlineStr">
        <is>
          <t>AGT-T-17</t>
        </is>
      </c>
      <c r="B20" s="11" t="inlineStr">
        <is>
          <t>Agent de terrain (application mobile)</t>
        </is>
      </c>
      <c r="C20" s="12" t="inlineStr">
        <is>
          <t>GSM / Gross Add</t>
        </is>
      </c>
      <c r="D20" s="12" t="inlineStr">
        <is>
          <t>Suppression d'une saisie</t>
        </is>
      </c>
      <c r="E20" s="13" t="inlineStr">
        <is>
          <t>P1</t>
        </is>
      </c>
      <c r="F20" s="12" t="inlineStr">
        <is>
          <t>Vérifier le retrait d'une saisie par l'agent terrain</t>
        </is>
      </c>
      <c r="G20" s="12" t="inlineStr">
        <is>
          <t>Saisie existante</t>
        </is>
      </c>
      <c r="H20" s="12" t="inlineStr">
        <is>
          <t>Supprimer la saisie</t>
        </is>
      </c>
      <c r="I20" s="12" t="inlineStr">
        <is>
          <t>Saisie retirée de la liste et de la base</t>
        </is>
      </c>
      <c r="J20" s="13" t="inlineStr">
        <is>
          <t>À exécuter</t>
        </is>
      </c>
      <c r="K20" s="12" t="inlineStr">
        <is>
          <t>Réf. originale : GSM-03</t>
        </is>
      </c>
    </row>
    <row r="21" ht="60" customHeight="1">
      <c r="A21" s="10" t="inlineStr">
        <is>
          <t>AGT-T-18</t>
        </is>
      </c>
      <c r="B21" s="11" t="inlineStr">
        <is>
          <t>Agent de terrain (application mobile)</t>
        </is>
      </c>
      <c r="C21" s="12" t="inlineStr">
        <is>
          <t>GSM / Gross Add</t>
        </is>
      </c>
      <c r="D21" s="12" t="inlineStr">
        <is>
          <t>Upload de captures</t>
        </is>
      </c>
      <c r="E21" s="13" t="inlineStr">
        <is>
          <t>P1</t>
        </is>
      </c>
      <c r="F21" s="12" t="inlineStr">
        <is>
          <t>Vérifier l'ajout de fichiers/photos associés à une saisie</t>
        </is>
      </c>
      <c r="G21" s="12" t="inlineStr">
        <is>
          <t>Saisie en cours sur le terrain</t>
        </is>
      </c>
      <c r="H21" s="12" t="inlineStr">
        <is>
          <t>Ajouter une ou plusieurs captures (photos)</t>
        </is>
      </c>
      <c r="I21" s="12" t="inlineStr">
        <is>
          <t>Fichiers stockés et liés à la saisie</t>
        </is>
      </c>
      <c r="J21" s="13" t="inlineStr">
        <is>
          <t>À exécuter</t>
        </is>
      </c>
      <c r="K21" s="12" t="inlineStr">
        <is>
          <t>Réf. originale : GSM-04</t>
        </is>
      </c>
    </row>
    <row r="22" ht="60" customHeight="1">
      <c r="A22" s="10" t="inlineStr">
        <is>
          <t>AGT-T-19</t>
        </is>
      </c>
      <c r="B22" s="11" t="inlineStr">
        <is>
          <t>Agent de terrain (application mobile)</t>
        </is>
      </c>
      <c r="C22" s="12" t="inlineStr">
        <is>
          <t>Présence et planning</t>
        </is>
      </c>
      <c r="D22" s="12" t="inlineStr">
        <is>
          <t>Heartbeat de présence (terrain)</t>
        </is>
      </c>
      <c r="E22" s="13" t="inlineStr">
        <is>
          <t>P0</t>
        </is>
      </c>
      <c r="F22" s="12" t="inlineStr">
        <is>
          <t>Vérifier la mise à jour du statut de présence depuis le terrain</t>
        </is>
      </c>
      <c r="G22" s="12" t="inlineStr">
        <is>
          <t>Agent terrain connecté sur mobile</t>
        </is>
      </c>
      <c r="H22" s="12" t="inlineStr">
        <is>
          <t>Envoyer un heartbeat depuis l'application mobile</t>
        </is>
      </c>
      <c r="I22" s="12" t="inlineStr">
        <is>
          <t>Statut mis à jour avec horodatage</t>
        </is>
      </c>
      <c r="J22" s="13" t="inlineStr">
        <is>
          <t>À exécuter</t>
        </is>
      </c>
      <c r="K22" s="12" t="inlineStr">
        <is>
          <t>Réf. originale : PRE-01</t>
        </is>
      </c>
    </row>
    <row r="23" ht="60" customHeight="1">
      <c r="A23" s="10" t="inlineStr">
        <is>
          <t>AGT-T-20</t>
        </is>
      </c>
      <c r="B23" s="11" t="inlineStr">
        <is>
          <t>Agent de terrain (application mobile)</t>
        </is>
      </c>
      <c r="C23" s="12" t="inlineStr">
        <is>
          <t>Présence et planning</t>
        </is>
      </c>
      <c r="D23" s="12" t="inlineStr">
        <is>
          <t>Changement de statut (terrain)</t>
        </is>
      </c>
      <c r="E23" s="13" t="inlineStr">
        <is>
          <t>P1</t>
        </is>
      </c>
      <c r="F23" s="12" t="inlineStr">
        <is>
          <t>Vérifier la modification manuelle du statut de présence</t>
        </is>
      </c>
      <c r="G23" s="12" t="inlineStr">
        <is>
          <t>Agent terrain connecté</t>
        </is>
      </c>
      <c r="H23" s="12" t="inlineStr">
        <is>
          <t>Changer le statut depuis l'application mobile</t>
        </is>
      </c>
      <c r="I23" s="12" t="inlineStr">
        <is>
          <t>Nouveau statut visible dans le tableau de bord</t>
        </is>
      </c>
      <c r="J23" s="13" t="inlineStr">
        <is>
          <t>À exécuter</t>
        </is>
      </c>
      <c r="K23" s="12" t="inlineStr">
        <is>
          <t>Réf. originale : PRE-02</t>
        </is>
      </c>
    </row>
    <row r="24" ht="60" customHeight="1">
      <c r="A24" s="10" t="inlineStr">
        <is>
          <t>AGT-T-21</t>
        </is>
      </c>
      <c r="B24" s="11" t="inlineStr">
        <is>
          <t>Agent de terrain (application mobile)</t>
        </is>
      </c>
      <c r="C24" s="12" t="inlineStr">
        <is>
          <t>Présence et planning</t>
        </is>
      </c>
      <c r="D24" s="12" t="inlineStr">
        <is>
          <t>Statut hors ligne / reconnexion mobile</t>
        </is>
      </c>
      <c r="E24" s="13" t="inlineStr">
        <is>
          <t>P1</t>
        </is>
      </c>
      <c r="F24" s="12" t="inlineStr">
        <is>
          <t>Vérifier qu'un agent perdu de réseau ne reste pas marqué comme actif sans raison</t>
        </is>
      </c>
      <c r="G24" s="12" t="inlineStr">
        <is>
          <t>Agent mobile connecté puis réseau coupé</t>
        </is>
      </c>
      <c r="H24" s="12" t="inlineStr">
        <is>
          <t>Couper puis rétablir le réseau, attendre le heartbeat/reconnect</t>
        </is>
      </c>
      <c r="I24" s="12" t="inlineStr">
        <is>
          <t>Le système ajuste le statut sans données incohérentes ni faux positifs</t>
        </is>
      </c>
      <c r="J24" s="13" t="inlineStr">
        <is>
          <t>À exécuter</t>
        </is>
      </c>
      <c r="K24" s="12" t="inlineStr">
        <is>
          <t>Disponibilité mobile</t>
        </is>
      </c>
    </row>
    <row r="25" ht="60" customHeight="1">
      <c r="A25" s="10" t="inlineStr">
        <is>
          <t>AGT-T-22</t>
        </is>
      </c>
      <c r="B25" s="11" t="inlineStr">
        <is>
          <t>Agent de terrain (application mobile)</t>
        </is>
      </c>
      <c r="C25" s="12" t="inlineStr">
        <is>
          <t>Réseau / robustesse</t>
        </is>
      </c>
      <c r="D25" s="12" t="inlineStr">
        <is>
          <t>Coupure réseau pendant upload</t>
        </is>
      </c>
      <c r="E25" s="13" t="inlineStr">
        <is>
          <t>P0</t>
        </is>
      </c>
      <c r="F25" s="12" t="inlineStr">
        <is>
          <t>Vérifier la reprise d'un upload interrompu ou la gestion explicite de l'échec</t>
        </is>
      </c>
      <c r="G25" s="12" t="inlineStr">
        <is>
          <t>Fichier photo ou dossier en cours de soumission</t>
        </is>
      </c>
      <c r="H25" s="12" t="inlineStr">
        <is>
          <t>Couper le réseau pendant l'envoi, rétablir, relancer la soumission</t>
        </is>
      </c>
      <c r="I25" s="12" t="inlineStr">
        <is>
          <t>Le système n'envoie pas de données partielles corrompues et propose une reprise claire</t>
        </is>
      </c>
      <c r="J25" s="13" t="inlineStr">
        <is>
          <t>À exécuter</t>
        </is>
      </c>
      <c r="K25" s="12" t="inlineStr">
        <is>
          <t>Réseau / résilience</t>
        </is>
      </c>
    </row>
    <row r="26" ht="60" customHeight="1">
      <c r="A26" s="10" t="inlineStr">
        <is>
          <t>AGT-T-23</t>
        </is>
      </c>
      <c r="B26" s="11" t="inlineStr">
        <is>
          <t>Agent de terrain (application mobile)</t>
        </is>
      </c>
      <c r="C26" s="12" t="inlineStr">
        <is>
          <t>Réseau / robustesse</t>
        </is>
      </c>
      <c r="D26" s="12" t="inlineStr">
        <is>
          <t>Timeout d'API / retour faible</t>
        </is>
      </c>
      <c r="E26" s="13" t="inlineStr">
        <is>
          <t>P1</t>
        </is>
      </c>
      <c r="F26" s="12" t="inlineStr">
        <is>
          <t>Vérifier le comportement sur réseau lent ou instable</t>
        </is>
      </c>
      <c r="G26" s="12" t="inlineStr">
        <is>
          <t>Mobile en 3G / 4G faible</t>
        </is>
      </c>
      <c r="H26" s="12" t="inlineStr">
        <is>
          <t>Lancer un OCR, un upload et une validation complète</t>
        </is>
      </c>
      <c r="I26" s="12" t="inlineStr">
        <is>
          <t>Messages de chargement sont corrects et le système ne se bloque pas</t>
        </is>
      </c>
      <c r="J26" s="13" t="inlineStr">
        <is>
          <t>À exécuter</t>
        </is>
      </c>
      <c r="K26" s="12" t="inlineStr">
        <is>
          <t>Qualité réseau</t>
        </is>
      </c>
    </row>
    <row r="27" ht="60" customHeight="1">
      <c r="A27" s="10" t="inlineStr">
        <is>
          <t>AGT-T-24</t>
        </is>
      </c>
      <c r="B27" s="11" t="inlineStr">
        <is>
          <t>Agent de terrain (application mobile)</t>
        </is>
      </c>
      <c r="C27" s="12" t="inlineStr">
        <is>
          <t>Réseau / robustesse</t>
        </is>
      </c>
      <c r="D27" s="12" t="inlineStr">
        <is>
          <t>App en arrière-plan / reprise</t>
        </is>
      </c>
      <c r="E27" s="13" t="inlineStr">
        <is>
          <t>P1</t>
        </is>
      </c>
      <c r="F27" s="12" t="inlineStr">
        <is>
          <t>Vérifier la reprise de l'application après mise en pause ou fermeture</t>
        </is>
      </c>
      <c r="G27" s="12" t="inlineStr">
        <is>
          <t>Session active sur mobile</t>
        </is>
      </c>
      <c r="H27" s="12" t="inlineStr">
        <is>
          <t>Mettre l'application en arrière-plan, la réouvrir plus tard</t>
        </is>
      </c>
      <c r="I27" s="12" t="inlineStr">
        <is>
          <t>L'utilisateur retrouve l'état correct et le flux de travail reprend sans corruption</t>
        </is>
      </c>
      <c r="J27" s="13" t="inlineStr">
        <is>
          <t>À exécuter</t>
        </is>
      </c>
      <c r="K27" s="12" t="inlineStr">
        <is>
          <t>UX / reprise</t>
        </is>
      </c>
    </row>
    <row r="28" ht="60" customHeight="1">
      <c r="A28" s="10" t="inlineStr">
        <is>
          <t>AGT-T-25</t>
        </is>
      </c>
      <c r="B28" s="11" t="inlineStr">
        <is>
          <t>Agent de terrain (application mobile)</t>
        </is>
      </c>
      <c r="C28" s="12" t="inlineStr">
        <is>
          <t>GSM / Gross Add</t>
        </is>
      </c>
      <c r="D28" s="12" t="inlineStr">
        <is>
          <t>Consultation des stats personnelles</t>
        </is>
      </c>
      <c r="E28" s="13" t="inlineStr">
        <is>
          <t>P1</t>
        </is>
      </c>
      <c r="F28" s="12" t="inlineStr">
        <is>
          <t>Vérifier les indicateurs de performance de l'agent terrain</t>
        </is>
      </c>
      <c r="G28" s="12" t="inlineStr">
        <is>
          <t>Agent terrain connecté</t>
        </is>
      </c>
      <c r="H28" s="12" t="inlineStr">
        <is>
          <t>Ouvrir la vue stats / tableau personnel</t>
        </is>
      </c>
      <c r="I28" s="12" t="inlineStr">
        <is>
          <t>Statistiques calculées correctement</t>
        </is>
      </c>
      <c r="J28" s="13" t="inlineStr">
        <is>
          <t>À exécuter</t>
        </is>
      </c>
      <c r="K28" s="12" t="inlineStr">
        <is>
          <t>Réf. originale : GSM-05</t>
        </is>
      </c>
    </row>
    <row r="29" ht="60" customHeight="1">
      <c r="A29" s="6" t="inlineStr">
        <is>
          <t>AGT-B-01</t>
        </is>
      </c>
      <c r="B29" s="14" t="inlineStr">
        <is>
          <t>Agent backoffice (frontend web)</t>
        </is>
      </c>
      <c r="C29" s="8" t="inlineStr">
        <is>
          <t>Authentification et sécurité</t>
        </is>
      </c>
      <c r="D29" s="8" t="inlineStr">
        <is>
          <t>Connexion valide (web)</t>
        </is>
      </c>
      <c r="E29" s="9" t="inlineStr">
        <is>
          <t>P0</t>
        </is>
      </c>
      <c r="F29" s="8" t="inlineStr">
        <is>
          <t>Vérifier qu'un agent backoffice peut se connecter sur le frontend web</t>
        </is>
      </c>
      <c r="G29" s="8" t="inlineStr">
        <is>
          <t>Compte agent actif (AG001)</t>
        </is>
      </c>
      <c r="H29" s="8" t="inlineStr">
        <is>
          <t>Saisir identifiant et mot de passe valides sur le frontend web</t>
        </is>
      </c>
      <c r="I29" s="8" t="inlineStr">
        <is>
          <t>Connexion réussie, token généré, redirection vers le tableau agent</t>
        </is>
      </c>
      <c r="J29" s="9" t="inlineStr">
        <is>
          <t>À exécuter</t>
        </is>
      </c>
      <c r="K29" s="8" t="inlineStr">
        <is>
          <t>Réf. originale : AUTH-01</t>
        </is>
      </c>
    </row>
    <row r="30" ht="60" customHeight="1">
      <c r="A30" s="10" t="inlineStr">
        <is>
          <t>AGT-B-02</t>
        </is>
      </c>
      <c r="B30" s="15" t="inlineStr">
        <is>
          <t>Agent backoffice (frontend web)</t>
        </is>
      </c>
      <c r="C30" s="12" t="inlineStr">
        <is>
          <t>Authentification et sécurité</t>
        </is>
      </c>
      <c r="D30" s="12" t="inlineStr">
        <is>
          <t>Connexion invalide (web)</t>
        </is>
      </c>
      <c r="E30" s="13" t="inlineStr">
        <is>
          <t>P0</t>
        </is>
      </c>
      <c r="F30" s="12" t="inlineStr">
        <is>
          <t>Vérifier la gestion des identifiants incorrects sur le web</t>
        </is>
      </c>
      <c r="G30" s="12" t="inlineStr">
        <is>
          <t>Compte agent existant</t>
        </is>
      </c>
      <c r="H30" s="12" t="inlineStr">
        <is>
          <t>Saisir un mot de passe erroné sur le frontend web</t>
        </is>
      </c>
      <c r="I30" s="12" t="inlineStr">
        <is>
          <t>Erreur affichée, aucune session créée</t>
        </is>
      </c>
      <c r="J30" s="13" t="inlineStr">
        <is>
          <t>À exécuter</t>
        </is>
      </c>
      <c r="K30" s="12" t="inlineStr">
        <is>
          <t>Réf. originale : AUTH-02</t>
        </is>
      </c>
    </row>
    <row r="31" ht="60" customHeight="1">
      <c r="A31" s="10" t="inlineStr">
        <is>
          <t>AGT-B-03</t>
        </is>
      </c>
      <c r="B31" s="15" t="inlineStr">
        <is>
          <t>Agent backoffice (frontend web)</t>
        </is>
      </c>
      <c r="C31" s="12" t="inlineStr">
        <is>
          <t>Authentification et sécurité</t>
        </is>
      </c>
      <c r="D31" s="12" t="inlineStr">
        <is>
          <t>Déconnexion (web)</t>
        </is>
      </c>
      <c r="E31" s="13" t="inlineStr">
        <is>
          <t>P0</t>
        </is>
      </c>
      <c r="F31" s="12" t="inlineStr">
        <is>
          <t>Vérifier la fin de session sur le frontend web</t>
        </is>
      </c>
      <c r="G31" s="12" t="inlineStr">
        <is>
          <t>Agent backoffice connecté</t>
        </is>
      </c>
      <c r="H31" s="12" t="inlineStr">
        <is>
          <t>Cliquer sur déconnexion</t>
        </is>
      </c>
      <c r="I31" s="12" t="inlineStr">
        <is>
          <t>Session terminée, accès refusé après déconnexion</t>
        </is>
      </c>
      <c r="J31" s="13" t="inlineStr">
        <is>
          <t>À exécuter</t>
        </is>
      </c>
      <c r="K31" s="12" t="inlineStr">
        <is>
          <t>Réf. originale : AUTH-03</t>
        </is>
      </c>
    </row>
    <row r="32" ht="60" customHeight="1">
      <c r="A32" s="10" t="inlineStr">
        <is>
          <t>AGT-B-04</t>
        </is>
      </c>
      <c r="B32" s="15" t="inlineStr">
        <is>
          <t>Agent backoffice (frontend web)</t>
        </is>
      </c>
      <c r="C32" s="12" t="inlineStr">
        <is>
          <t>Authentification et sécurité</t>
        </is>
      </c>
      <c r="D32" s="12" t="inlineStr">
        <is>
          <t>Changement de mot de passe (web)</t>
        </is>
      </c>
      <c r="E32" s="13" t="inlineStr">
        <is>
          <t>P1</t>
        </is>
      </c>
      <c r="F32" s="12" t="inlineStr">
        <is>
          <t>Vérifier la mise à jour du mot de passe depuis le frontend web</t>
        </is>
      </c>
      <c r="G32" s="12" t="inlineStr">
        <is>
          <t>Agent backoffice connecté</t>
        </is>
      </c>
      <c r="H32" s="12" t="inlineStr">
        <is>
          <t>Changer le mot de passe via l'interface web</t>
        </is>
      </c>
      <c r="I32" s="12" t="inlineStr">
        <is>
          <t>Mot de passe modifié, nouvelle connexion possible</t>
        </is>
      </c>
      <c r="J32" s="13" t="inlineStr">
        <is>
          <t>À exécuter</t>
        </is>
      </c>
      <c r="K32" s="12" t="inlineStr">
        <is>
          <t>Réf. originale : AUTH-04</t>
        </is>
      </c>
    </row>
    <row r="33" ht="60" customHeight="1">
      <c r="A33" s="10" t="inlineStr">
        <is>
          <t>AGT-B-05</t>
        </is>
      </c>
      <c r="B33" s="15" t="inlineStr">
        <is>
          <t>Agent backoffice (frontend web)</t>
        </is>
      </c>
      <c r="C33" s="12" t="inlineStr">
        <is>
          <t>Authentification et sécurité</t>
        </is>
      </c>
      <c r="D33" s="12" t="inlineStr">
        <is>
          <t>Vérification des droits (accès admin refusé)</t>
        </is>
      </c>
      <c r="E33" s="13" t="inlineStr">
        <is>
          <t>P0</t>
        </is>
      </c>
      <c r="F33" s="12" t="inlineStr">
        <is>
          <t>Vérifier qu'un agent backoffice ne peut pas accéder aux routes admin</t>
        </is>
      </c>
      <c r="G33" s="12" t="inlineStr">
        <is>
          <t>Compte agent connecté</t>
        </is>
      </c>
      <c r="H33" s="12" t="inlineStr">
        <is>
          <t>Tenter d'accéder à une page réservée admin</t>
        </is>
      </c>
      <c r="I33" s="12" t="inlineStr">
        <is>
          <t>Accès refusé avec message approprié</t>
        </is>
      </c>
      <c r="J33" s="13" t="inlineStr">
        <is>
          <t>À exécuter</t>
        </is>
      </c>
      <c r="K33" s="12" t="inlineStr">
        <is>
          <t>Réf. originale : AUTH-05</t>
        </is>
      </c>
    </row>
    <row r="34" ht="60" customHeight="1">
      <c r="A34" s="10" t="inlineStr">
        <is>
          <t>AGT-B-06</t>
        </is>
      </c>
      <c r="B34" s="15" t="inlineStr">
        <is>
          <t>Agent backoffice (frontend web)</t>
        </is>
      </c>
      <c r="C34" s="12" t="inlineStr">
        <is>
          <t>Gestion des dossiers</t>
        </is>
      </c>
      <c r="D34" s="12" t="inlineStr">
        <is>
          <t>Liste des dossiers</t>
        </is>
      </c>
      <c r="E34" s="13" t="inlineStr">
        <is>
          <t>P0</t>
        </is>
      </c>
      <c r="F34" s="12" t="inlineStr">
        <is>
          <t>Vérifier l'affichage de la file de dossiers à traiter</t>
        </is>
      </c>
      <c r="G34" s="12" t="inlineStr">
        <is>
          <t>Agent backoffice connecté avec droits</t>
        </is>
      </c>
      <c r="H34" s="12" t="inlineStr">
        <is>
          <t>Ouvrir la liste des dossiers</t>
        </is>
      </c>
      <c r="I34" s="12" t="inlineStr">
        <is>
          <t>Liste chargée, filtres fonctionnels</t>
        </is>
      </c>
      <c r="J34" s="13" t="inlineStr">
        <is>
          <t>À exécuter</t>
        </is>
      </c>
      <c r="K34" s="12" t="inlineStr">
        <is>
          <t>Réf. originale : DOS-01</t>
        </is>
      </c>
    </row>
    <row r="35" ht="60" customHeight="1">
      <c r="A35" s="10" t="inlineStr">
        <is>
          <t>AGT-B-07</t>
        </is>
      </c>
      <c r="B35" s="15" t="inlineStr">
        <is>
          <t>Agent backoffice (frontend web)</t>
        </is>
      </c>
      <c r="C35" s="12" t="inlineStr">
        <is>
          <t>Gestion des dossiers</t>
        </is>
      </c>
      <c r="D35" s="12" t="inlineStr">
        <is>
          <t>Prendre en charge un dossier</t>
        </is>
      </c>
      <c r="E35" s="13" t="inlineStr">
        <is>
          <t>P0</t>
        </is>
      </c>
      <c r="F35" s="12" t="inlineStr">
        <is>
          <t>Vérifier la prise en charge d'un dossier par l'agent backoffice</t>
        </is>
      </c>
      <c r="G35" s="12" t="inlineStr">
        <is>
          <t>Dossier disponible</t>
        </is>
      </c>
      <c r="H35" s="12" t="inlineStr">
        <is>
          <t>Cliquer sur « Prendre »</t>
        </is>
      </c>
      <c r="I35" s="12" t="inlineStr">
        <is>
          <t>Statut mis à jour, dossier assigné à l'agent</t>
        </is>
      </c>
      <c r="J35" s="13" t="inlineStr">
        <is>
          <t>À exécuter</t>
        </is>
      </c>
      <c r="K35" s="12" t="inlineStr">
        <is>
          <t>Réf. originale : DOS-02</t>
        </is>
      </c>
    </row>
    <row r="36" ht="60" customHeight="1">
      <c r="A36" s="10" t="inlineStr">
        <is>
          <t>AGT-B-08</t>
        </is>
      </c>
      <c r="B36" s="15" t="inlineStr">
        <is>
          <t>Agent backoffice (frontend web)</t>
        </is>
      </c>
      <c r="C36" s="12" t="inlineStr">
        <is>
          <t>Gestion des dossiers</t>
        </is>
      </c>
      <c r="D36" s="12" t="inlineStr">
        <is>
          <t>Accepter un dossier</t>
        </is>
      </c>
      <c r="E36" s="13" t="inlineStr">
        <is>
          <t>P0</t>
        </is>
      </c>
      <c r="F36" s="12" t="inlineStr">
        <is>
          <t>Vérifier l'acceptation du dossier</t>
        </is>
      </c>
      <c r="G36" s="12" t="inlineStr">
        <is>
          <t>Dossier pris en charge</t>
        </is>
      </c>
      <c r="H36" s="12" t="inlineStr">
        <is>
          <t>Cliquer sur « Accepter »</t>
        </is>
      </c>
      <c r="I36" s="12" t="inlineStr">
        <is>
          <t>Dossier passé au statut accepté</t>
        </is>
      </c>
      <c r="J36" s="13" t="inlineStr">
        <is>
          <t>À exécuter</t>
        </is>
      </c>
      <c r="K36" s="12" t="inlineStr">
        <is>
          <t>Réf. originale : DOS-03</t>
        </is>
      </c>
    </row>
    <row r="37" ht="60" customHeight="1">
      <c r="A37" s="10" t="inlineStr">
        <is>
          <t>AGT-B-09</t>
        </is>
      </c>
      <c r="B37" s="15" t="inlineStr">
        <is>
          <t>Agent backoffice (frontend web)</t>
        </is>
      </c>
      <c r="C37" s="12" t="inlineStr">
        <is>
          <t>Gestion des dossiers</t>
        </is>
      </c>
      <c r="D37" s="12" t="inlineStr">
        <is>
          <t>Rejeter un dossier</t>
        </is>
      </c>
      <c r="E37" s="13" t="inlineStr">
        <is>
          <t>P0</t>
        </is>
      </c>
      <c r="F37" s="12" t="inlineStr">
        <is>
          <t>Vérifier le rejet du dossier</t>
        </is>
      </c>
      <c r="G37" s="12" t="inlineStr">
        <is>
          <t>Dossier pris en charge</t>
        </is>
      </c>
      <c r="H37" s="12" t="inlineStr">
        <is>
          <t>Cliquer sur « Rejeter »</t>
        </is>
      </c>
      <c r="I37" s="12" t="inlineStr">
        <is>
          <t>Dossier passé au statut rejeté avec motif si applicable</t>
        </is>
      </c>
      <c r="J37" s="13" t="inlineStr">
        <is>
          <t>À exécuter</t>
        </is>
      </c>
      <c r="K37" s="12" t="inlineStr">
        <is>
          <t>Réf. originale : DOS-04</t>
        </is>
      </c>
    </row>
    <row r="38" ht="60" customHeight="1">
      <c r="A38" s="10" t="inlineStr">
        <is>
          <t>AGT-B-10</t>
        </is>
      </c>
      <c r="B38" s="15" t="inlineStr">
        <is>
          <t>Agent backoffice (frontend web)</t>
        </is>
      </c>
      <c r="C38" s="12" t="inlineStr">
        <is>
          <t>Gestion des dossiers</t>
        </is>
      </c>
      <c r="D38" s="12" t="inlineStr">
        <is>
          <t>Vérification du détail d'un dossier</t>
        </is>
      </c>
      <c r="E38" s="13" t="inlineStr">
        <is>
          <t>P0</t>
        </is>
      </c>
      <c r="F38" s="12" t="inlineStr">
        <is>
          <t>Vérifier l'ouverture de la fiche détaillée depuis le backoffice</t>
        </is>
      </c>
      <c r="G38" s="12" t="inlineStr">
        <is>
          <t>Dossier existant</t>
        </is>
      </c>
      <c r="H38" s="12" t="inlineStr">
        <is>
          <t>Ouvrir un dossier depuis la liste</t>
        </is>
      </c>
      <c r="I38" s="12" t="inlineStr">
        <is>
          <t>Toutes les informations affichées correctement</t>
        </is>
      </c>
      <c r="J38" s="13" t="inlineStr">
        <is>
          <t>À exécuter</t>
        </is>
      </c>
      <c r="K38" s="12" t="inlineStr">
        <is>
          <t>Réf. originale : DOS-06</t>
        </is>
      </c>
    </row>
    <row r="39" ht="60" customHeight="1">
      <c r="A39" s="10" t="inlineStr">
        <is>
          <t>AGT-B-11</t>
        </is>
      </c>
      <c r="B39" s="15" t="inlineStr">
        <is>
          <t>Agent backoffice (frontend web)</t>
        </is>
      </c>
      <c r="C39" s="12" t="inlineStr">
        <is>
          <t>Gestion des dossiers</t>
        </is>
      </c>
      <c r="D39" s="12" t="inlineStr">
        <is>
          <t>Accès aux photos</t>
        </is>
      </c>
      <c r="E39" s="13" t="inlineStr">
        <is>
          <t>P1</t>
        </is>
      </c>
      <c r="F39" s="12" t="inlineStr">
        <is>
          <t>Vérifier l'accès sécurisé aux photos du dossier</t>
        </is>
      </c>
      <c r="G39" s="12" t="inlineStr">
        <is>
          <t>Dossier avec photo</t>
        </is>
      </c>
      <c r="H39" s="12" t="inlineStr">
        <is>
          <t>Ouvrir la photo via l'API depuis le backoffice</t>
        </is>
      </c>
      <c r="I39" s="12" t="inlineStr">
        <is>
          <t>Photo affichée ou bloquée selon les droits</t>
        </is>
      </c>
      <c r="J39" s="13" t="inlineStr">
        <is>
          <t>À exécuter</t>
        </is>
      </c>
      <c r="K39" s="12" t="inlineStr">
        <is>
          <t>Réf. originale : DOS-07</t>
        </is>
      </c>
    </row>
    <row r="40" ht="60" customHeight="1">
      <c r="A40" s="10" t="inlineStr">
        <is>
          <t>AGT-B-12</t>
        </is>
      </c>
      <c r="B40" s="15" t="inlineStr">
        <is>
          <t>Agent backoffice (frontend web)</t>
        </is>
      </c>
      <c r="C40" s="12" t="inlineStr">
        <is>
          <t>Gestion des dossiers</t>
        </is>
      </c>
      <c r="D40" s="12" t="inlineStr">
        <is>
          <t>Relecture de dossier avec données OCR</t>
        </is>
      </c>
      <c r="E40" s="13" t="inlineStr">
        <is>
          <t>P1</t>
        </is>
      </c>
      <c r="F40" s="12" t="inlineStr">
        <is>
          <t>Vérifier que les champs préremplis issus de l'OCR peuvent être corrigés et validés</t>
        </is>
      </c>
      <c r="G40" s="12" t="inlineStr">
        <is>
          <t>Dossier avec extraction automatique partielle</t>
        </is>
      </c>
      <c r="H40" s="12" t="inlineStr">
        <is>
          <t>Ouvrir le dossier et corriger les champs suspects</t>
        </is>
      </c>
      <c r="I40" s="12" t="inlineStr">
        <is>
          <t>Les changements sont enregistrés et visibles dans l'historique ou le dossier final</t>
        </is>
      </c>
      <c r="J40" s="13" t="inlineStr">
        <is>
          <t>À exécuter</t>
        </is>
      </c>
      <c r="K40" s="12" t="inlineStr">
        <is>
          <t>Contrôle qualité dossier</t>
        </is>
      </c>
    </row>
    <row r="41" ht="60" customHeight="1">
      <c r="A41" s="10" t="inlineStr">
        <is>
          <t>AGT-B-13</t>
        </is>
      </c>
      <c r="B41" s="15" t="inlineStr">
        <is>
          <t>Agent backoffice (frontend web)</t>
        </is>
      </c>
      <c r="C41" s="12" t="inlineStr">
        <is>
          <t>Gestion des dossiers</t>
        </is>
      </c>
      <c r="D41" s="12" t="inlineStr">
        <is>
          <t>Transfert de dossier en double ou collision</t>
        </is>
      </c>
      <c r="E41" s="13" t="inlineStr">
        <is>
          <t>P1</t>
        </is>
      </c>
      <c r="F41" s="12" t="inlineStr">
        <is>
          <t>Vérifier la gestion d'un transfert concurrent ou d'une clé de dossier déjà attribuée</t>
        </is>
      </c>
      <c r="G41" s="12" t="inlineStr">
        <is>
          <t>Dossier déjà attribué ou en cours de traitement</t>
        </is>
      </c>
      <c r="H41" s="12" t="inlineStr">
        <is>
          <t>Tenter un transfert ou une seconde attribution simultanée</t>
        </is>
      </c>
      <c r="I41" s="12" t="inlineStr">
        <is>
          <t>Le système empêche la collision, garde l'attribution finale cohérente et affiche le bon message</t>
        </is>
      </c>
      <c r="J41" s="13" t="inlineStr">
        <is>
          <t>À exécuter</t>
        </is>
      </c>
      <c r="K41" s="12" t="inlineStr">
        <is>
          <t>Concurrence / robustesse</t>
        </is>
      </c>
    </row>
    <row r="42" ht="60" customHeight="1">
      <c r="A42" s="10" t="inlineStr">
        <is>
          <t>AGT-B-14</t>
        </is>
      </c>
      <c r="B42" s="15" t="inlineStr">
        <is>
          <t>Agent backoffice (frontend web)</t>
        </is>
      </c>
      <c r="C42" s="12" t="inlineStr">
        <is>
          <t>Vérification faciale et liveness</t>
        </is>
      </c>
      <c r="D42" s="12" t="inlineStr">
        <is>
          <t>Résultat de session liveness</t>
        </is>
      </c>
      <c r="E42" s="13" t="inlineStr">
        <is>
          <t>P0</t>
        </is>
      </c>
      <c r="F42" s="12" t="inlineStr">
        <is>
          <t>Vérifier la récupération du résultat liveness par l'agent backoffice</t>
        </is>
      </c>
      <c r="G42" s="12" t="inlineStr">
        <is>
          <t>Session liveness créée</t>
        </is>
      </c>
      <c r="H42" s="12" t="inlineStr">
        <is>
          <t>Récupérer le résultat depuis l'interface web</t>
        </is>
      </c>
      <c r="I42" s="12" t="inlineStr">
        <is>
          <t>Résultat traité et enregistré en base</t>
        </is>
      </c>
      <c r="J42" s="13" t="inlineStr">
        <is>
          <t>À exécuter</t>
        </is>
      </c>
      <c r="K42" s="12" t="inlineStr">
        <is>
          <t>Réf. originale : LIV-02</t>
        </is>
      </c>
    </row>
    <row r="43" ht="60" customHeight="1">
      <c r="A43" s="10" t="inlineStr">
        <is>
          <t>AGT-B-15</t>
        </is>
      </c>
      <c r="B43" s="15" t="inlineStr">
        <is>
          <t>Agent backoffice (frontend web)</t>
        </is>
      </c>
      <c r="C43" s="12" t="inlineStr">
        <is>
          <t>Vérification faciale et liveness</t>
        </is>
      </c>
      <c r="D43" s="12" t="inlineStr">
        <is>
          <t>Redirection web liveness</t>
        </is>
      </c>
      <c r="E43" s="13" t="inlineStr">
        <is>
          <t>P1</t>
        </is>
      </c>
      <c r="F43" s="12" t="inlineStr">
        <is>
          <t>Vérifier l'ouverture de la page web de vérification</t>
        </is>
      </c>
      <c r="G43" s="12" t="inlineStr">
        <is>
          <t>URL de test renseignée</t>
        </is>
      </c>
      <c r="H43" s="12" t="inlineStr">
        <is>
          <t>Ouvrir /liveness-check?dossierId=...</t>
        </is>
      </c>
      <c r="I43" s="12" t="inlineStr">
        <is>
          <t>Page web s'affiche et initie la procédure</t>
        </is>
      </c>
      <c r="J43" s="13" t="inlineStr">
        <is>
          <t>À exécuter</t>
        </is>
      </c>
      <c r="K43" s="12" t="inlineStr">
        <is>
          <t>Réf. originale : LIV-03</t>
        </is>
      </c>
    </row>
    <row r="44" ht="60" customHeight="1">
      <c r="A44" s="10" t="inlineStr">
        <is>
          <t>AGT-B-16</t>
        </is>
      </c>
      <c r="B44" s="15" t="inlineStr">
        <is>
          <t>Agent backoffice (frontend web)</t>
        </is>
      </c>
      <c r="C44" s="12" t="inlineStr">
        <is>
          <t>Vérification faciale et liveness</t>
        </is>
      </c>
      <c r="D44" s="12" t="inlineStr">
        <is>
          <t>Appel vidéo interne</t>
        </is>
      </c>
      <c r="E44" s="13" t="inlineStr">
        <is>
          <t>P0</t>
        </is>
      </c>
      <c r="F44" s="12" t="inlineStr">
        <is>
          <t>Vérifier le flux interne d'appel vidéo entre l'agent backoffice et l'autre acteur</t>
        </is>
      </c>
      <c r="G44" s="12" t="inlineStr">
        <is>
          <t>Backend démarré, signalisation disponible</t>
        </is>
      </c>
      <c r="H44" s="12" t="inlineStr">
        <is>
          <t>Exécuter le scénario d'appel vidéo depuis l'interface backoffice, puis valider réception, connexion et fin d'appel</t>
        </is>
      </c>
      <c r="I44" s="12" t="inlineStr">
        <is>
          <t>L'appel vidéo se déroule correctement, la connexion est établie, les statuts évoluent correctement et la session se termine proprement</t>
        </is>
      </c>
      <c r="J44" s="13" t="inlineStr">
        <is>
          <t>À exécuter</t>
        </is>
      </c>
      <c r="K44" s="12" t="inlineStr">
        <is>
          <t>Réf. originale : LIV-05</t>
        </is>
      </c>
    </row>
    <row r="45" ht="60" customHeight="1">
      <c r="A45" s="10" t="inlineStr">
        <is>
          <t>AGT-B-17</t>
        </is>
      </c>
      <c r="B45" s="15" t="inlineStr">
        <is>
          <t>Agent backoffice (frontend web)</t>
        </is>
      </c>
      <c r="C45" s="12" t="inlineStr">
        <is>
          <t>Vérification faciale et liveness</t>
        </is>
      </c>
      <c r="D45" s="12" t="inlineStr">
        <is>
          <t>Appel entrant / perte de connexion / reprise</t>
        </is>
      </c>
      <c r="E45" s="13" t="inlineStr">
        <is>
          <t>P1</t>
        </is>
      </c>
      <c r="F45" s="12" t="inlineStr">
        <is>
          <t>Vérifier la reprise d'un appel vidéo après coupure ou re-register</t>
        </is>
      </c>
      <c r="G45" s="12" t="inlineStr">
        <is>
          <t>Appel en cours, réseau instable</t>
        </is>
      </c>
      <c r="H45" s="12" t="inlineStr">
        <is>
          <t>Casser temporairement la WS / réseau puis reprendre l'appel</t>
        </is>
      </c>
      <c r="I45" s="12" t="inlineStr">
        <is>
          <t>L'appel se reconnecte proprement ou se termine avec un message explicite sans rester bloqué</t>
        </is>
      </c>
      <c r="J45" s="13" t="inlineStr">
        <is>
          <t>À exécuter</t>
        </is>
      </c>
      <c r="K45" s="12" t="inlineStr">
        <is>
          <t>Signalisation / pont de voix</t>
        </is>
      </c>
    </row>
    <row r="46" ht="60" customHeight="1">
      <c r="A46" s="10" t="inlineStr">
        <is>
          <t>AGT-B-18</t>
        </is>
      </c>
      <c r="B46" s="15" t="inlineStr">
        <is>
          <t>Agent backoffice (frontend web)</t>
        </is>
      </c>
      <c r="C46" s="12" t="inlineStr">
        <is>
          <t>Présence et planning</t>
        </is>
      </c>
      <c r="D46" s="12" t="inlineStr">
        <is>
          <t>Accès à la file de disponibilité</t>
        </is>
      </c>
      <c r="E46" s="13" t="inlineStr">
        <is>
          <t>P1</t>
        </is>
      </c>
      <c r="F46" s="12" t="inlineStr">
        <is>
          <t>Vérifier l'affichage de disponibilité et d'activité des agents</t>
        </is>
      </c>
      <c r="G46" s="12" t="inlineStr">
        <is>
          <t>Superviseur ou agent connecté</t>
        </is>
      </c>
      <c r="H46" s="12" t="inlineStr">
        <is>
          <t>Ouvrir le tableau de présence et de disponibilité</t>
        </is>
      </c>
      <c r="I46" s="12" t="inlineStr">
        <is>
          <t>Les statuts sont synchronisés et cohérents</t>
        </is>
      </c>
      <c r="J46" s="13" t="inlineStr">
        <is>
          <t>À exécuter</t>
        </is>
      </c>
      <c r="K46" s="12" t="inlineStr">
        <is>
          <t>Disponibilité / supervision</t>
        </is>
      </c>
    </row>
    <row r="47" ht="60" customHeight="1">
      <c r="A47" s="10" t="inlineStr">
        <is>
          <t>AGT-B-19</t>
        </is>
      </c>
      <c r="B47" s="15" t="inlineStr">
        <is>
          <t>Agent backoffice (frontend web)</t>
        </is>
      </c>
      <c r="C47" s="12" t="inlineStr">
        <is>
          <t>Administration et configuration</t>
        </is>
      </c>
      <c r="D47" s="12" t="inlineStr">
        <is>
          <t>Rôle / droits écran web</t>
        </is>
      </c>
      <c r="E47" s="13" t="inlineStr">
        <is>
          <t>P1</t>
        </is>
      </c>
      <c r="F47" s="12" t="inlineStr">
        <is>
          <t>Vérifier que chaque écran web est visible uniquement sur les profils autorisés</t>
        </is>
      </c>
      <c r="G47" s="12" t="inlineStr">
        <is>
          <t>Agent connecté puis admin connecté</t>
        </is>
      </c>
      <c r="H47" s="12" t="inlineStr">
        <is>
          <t>Essayer d'ouvrir une écrans de supervision/admin depuis un mauvais rôle</t>
        </is>
      </c>
      <c r="I47" s="12" t="inlineStr">
        <is>
          <t>Accès refusé sans fuite d'information</t>
        </is>
      </c>
      <c r="J47" s="13" t="inlineStr">
        <is>
          <t>À exécuter</t>
        </is>
      </c>
      <c r="K47" s="12" t="inlineStr">
        <is>
          <t>Sécurité / permissions</t>
        </is>
      </c>
    </row>
    <row r="48" ht="60" customHeight="1">
      <c r="A48" s="6" t="inlineStr">
        <is>
          <t>SUP-01</t>
        </is>
      </c>
      <c r="B48" s="16" t="inlineStr">
        <is>
          <t>Superviseur</t>
        </is>
      </c>
      <c r="C48" s="8" t="inlineStr">
        <is>
          <t>Authentification et sécurité</t>
        </is>
      </c>
      <c r="D48" s="8" t="inlineStr">
        <is>
          <t>Connexion valide</t>
        </is>
      </c>
      <c r="E48" s="9" t="inlineStr">
        <is>
          <t>P0</t>
        </is>
      </c>
      <c r="F48" s="8" t="inlineStr">
        <is>
          <t>Vérifier qu'un superviseur peut se connecter</t>
        </is>
      </c>
      <c r="G48" s="8" t="inlineStr">
        <is>
          <t>Compte superviseur actif (SUP001)</t>
        </is>
      </c>
      <c r="H48" s="8" t="inlineStr">
        <is>
          <t>Saisir identifiant et mot de passe valides</t>
        </is>
      </c>
      <c r="I48" s="8" t="inlineStr">
        <is>
          <t>Connexion réussie, token généré, redirection vers le tableau superviseur</t>
        </is>
      </c>
      <c r="J48" s="9" t="inlineStr">
        <is>
          <t>À exécuter</t>
        </is>
      </c>
      <c r="K48" s="8" t="inlineStr">
        <is>
          <t>Réf. originale : AUTH-01</t>
        </is>
      </c>
    </row>
    <row r="49" ht="60" customHeight="1">
      <c r="A49" s="10" t="inlineStr">
        <is>
          <t>SUP-02</t>
        </is>
      </c>
      <c r="B49" s="17" t="inlineStr">
        <is>
          <t>Superviseur</t>
        </is>
      </c>
      <c r="C49" s="12" t="inlineStr">
        <is>
          <t>Authentification et sécurité</t>
        </is>
      </c>
      <c r="D49" s="12" t="inlineStr">
        <is>
          <t>Déconnexion</t>
        </is>
      </c>
      <c r="E49" s="13" t="inlineStr">
        <is>
          <t>P0</t>
        </is>
      </c>
      <c r="F49" s="12" t="inlineStr">
        <is>
          <t>Vérifier la fin de session superviseur</t>
        </is>
      </c>
      <c r="G49" s="12" t="inlineStr">
        <is>
          <t>Superviseur connecté</t>
        </is>
      </c>
      <c r="H49" s="12" t="inlineStr">
        <is>
          <t>Cliquer sur déconnexion</t>
        </is>
      </c>
      <c r="I49" s="12" t="inlineStr">
        <is>
          <t>Session terminée, accès refusé après déconnexion</t>
        </is>
      </c>
      <c r="J49" s="13" t="inlineStr">
        <is>
          <t>À exécuter</t>
        </is>
      </c>
      <c r="K49" s="12" t="inlineStr">
        <is>
          <t>Réf. originale : AUTH-03</t>
        </is>
      </c>
    </row>
    <row r="50" ht="60" customHeight="1">
      <c r="A50" s="10" t="inlineStr">
        <is>
          <t>SUP-03</t>
        </is>
      </c>
      <c r="B50" s="17" t="inlineStr">
        <is>
          <t>Superviseur</t>
        </is>
      </c>
      <c r="C50" s="12" t="inlineStr">
        <is>
          <t>Gestion des dossiers</t>
        </is>
      </c>
      <c r="D50" s="12" t="inlineStr">
        <is>
          <t>Transférer un dossier</t>
        </is>
      </c>
      <c r="E50" s="13" t="inlineStr">
        <is>
          <t>P1</t>
        </is>
      </c>
      <c r="F50" s="12" t="inlineStr">
        <is>
          <t>Vérifier la logique de transfert d'un dossier vers un autre agent</t>
        </is>
      </c>
      <c r="G50" s="12" t="inlineStr">
        <is>
          <t>Droits superviseur</t>
        </is>
      </c>
      <c r="H50" s="12" t="inlineStr">
        <is>
          <t>Sélectionner un dossier et un destinataire</t>
        </is>
      </c>
      <c r="I50" s="12" t="inlineStr">
        <is>
          <t>Dossier transféré et visible par le bon utilisateur</t>
        </is>
      </c>
      <c r="J50" s="13" t="inlineStr">
        <is>
          <t>À exécuter</t>
        </is>
      </c>
      <c r="K50" s="12" t="inlineStr">
        <is>
          <t>Réf. originale : DOS-05</t>
        </is>
      </c>
    </row>
    <row r="51" ht="60" customHeight="1">
      <c r="A51" s="10" t="inlineStr">
        <is>
          <t>SUP-04</t>
        </is>
      </c>
      <c r="B51" s="17" t="inlineStr">
        <is>
          <t>Superviseur</t>
        </is>
      </c>
      <c r="C51" s="12" t="inlineStr">
        <is>
          <t>Gestion des dossiers</t>
        </is>
      </c>
      <c r="D51" s="12" t="inlineStr">
        <is>
          <t>Alerte superviseur / remise à zéro</t>
        </is>
      </c>
      <c r="E51" s="13" t="inlineStr">
        <is>
          <t>P0</t>
        </is>
      </c>
      <c r="F51" s="12" t="inlineStr">
        <is>
          <t>Vérifier que les alertes du superviseur sont réinitialisées à chaque nouvelle attribution</t>
        </is>
      </c>
      <c r="G51" s="12" t="inlineStr">
        <is>
          <t>Un dossier est attribué et une alerte supervisée existe</t>
        </is>
      </c>
      <c r="H51" s="12" t="inlineStr">
        <is>
          <t>Réaliser une nouvelle attribution ou un transfert de dossier</t>
        </is>
      </c>
      <c r="I51" s="12" t="inlineStr">
        <is>
          <t>Le champ alerte_superviseur_le est remis à NULL correctement et ne reste pas contaminé</t>
        </is>
      </c>
      <c r="J51" s="13" t="inlineStr">
        <is>
          <t>À exécuter</t>
        </is>
      </c>
      <c r="K51" s="12" t="inlineStr">
        <is>
          <t>Conformité données / verrou</t>
        </is>
      </c>
    </row>
    <row r="52" ht="60" customHeight="1">
      <c r="A52" s="10" t="inlineStr">
        <is>
          <t>SUP-05</t>
        </is>
      </c>
      <c r="B52" s="17" t="inlineStr">
        <is>
          <t>Superviseur</t>
        </is>
      </c>
      <c r="C52" s="12" t="inlineStr">
        <is>
          <t>Présence et planning</t>
        </is>
      </c>
      <c r="D52" s="12" t="inlineStr">
        <is>
          <t>Résumé de présence</t>
        </is>
      </c>
      <c r="E52" s="13" t="inlineStr">
        <is>
          <t>P1</t>
        </is>
      </c>
      <c r="F52" s="12" t="inlineStr">
        <is>
          <t>Vérifier les compteurs de présence agrégés des agents</t>
        </is>
      </c>
      <c r="G52" s="12" t="inlineStr">
        <is>
          <t>Droits superviseur</t>
        </is>
      </c>
      <c r="H52" s="12" t="inlineStr">
        <is>
          <t>Ouvrir la vue de résumé de présence</t>
        </is>
      </c>
      <c r="I52" s="12" t="inlineStr">
        <is>
          <t>Données agrégées correctes</t>
        </is>
      </c>
      <c r="J52" s="13" t="inlineStr">
        <is>
          <t>À exécuter</t>
        </is>
      </c>
      <c r="K52" s="12" t="inlineStr">
        <is>
          <t>Réf. originale : PRE-03</t>
        </is>
      </c>
    </row>
    <row r="53" ht="60" customHeight="1">
      <c r="A53" s="10" t="inlineStr">
        <is>
          <t>SUP-06</t>
        </is>
      </c>
      <c r="B53" s="17" t="inlineStr">
        <is>
          <t>Superviseur</t>
        </is>
      </c>
      <c r="C53" s="12" t="inlineStr">
        <is>
          <t>Présence et planning</t>
        </is>
      </c>
      <c r="D53" s="12" t="inlineStr">
        <is>
          <t>Consultation du planning</t>
        </is>
      </c>
      <c r="E53" s="13" t="inlineStr">
        <is>
          <t>P1</t>
        </is>
      </c>
      <c r="F53" s="12" t="inlineStr">
        <is>
          <t>Vérifier l'affichage du planning des agents</t>
        </is>
      </c>
      <c r="G53" s="12" t="inlineStr">
        <is>
          <t>Superviseur autorisé</t>
        </is>
      </c>
      <c r="H53" s="12" t="inlineStr">
        <is>
          <t>Ouvrir le planning</t>
        </is>
      </c>
      <c r="I53" s="12" t="inlineStr">
        <is>
          <t>Planning affiché et cohérent</t>
        </is>
      </c>
      <c r="J53" s="13" t="inlineStr">
        <is>
          <t>À exécuter</t>
        </is>
      </c>
      <c r="K53" s="12" t="inlineStr">
        <is>
          <t>Réf. originale : PLA-01</t>
        </is>
      </c>
    </row>
    <row r="54" ht="60" customHeight="1">
      <c r="A54" s="10" t="inlineStr">
        <is>
          <t>SUP-07</t>
        </is>
      </c>
      <c r="B54" s="17" t="inlineStr">
        <is>
          <t>Superviseur</t>
        </is>
      </c>
      <c r="C54" s="12" t="inlineStr">
        <is>
          <t>Présence et planning</t>
        </is>
      </c>
      <c r="D54" s="12" t="inlineStr">
        <is>
          <t>Import de planning</t>
        </is>
      </c>
      <c r="E54" s="13" t="inlineStr">
        <is>
          <t>P1</t>
        </is>
      </c>
      <c r="F54" s="12" t="inlineStr">
        <is>
          <t>Vérifier l'import d'un fichier/JSON de planning</t>
        </is>
      </c>
      <c r="G54" s="12" t="inlineStr">
        <is>
          <t>Droits superviseur</t>
        </is>
      </c>
      <c r="H54" s="12" t="inlineStr">
        <is>
          <t>Importer un planning de test</t>
        </is>
      </c>
      <c r="I54" s="12" t="inlineStr">
        <is>
          <t>Données importées sans corruption</t>
        </is>
      </c>
      <c r="J54" s="13" t="inlineStr">
        <is>
          <t>À exécuter</t>
        </is>
      </c>
      <c r="K54" s="12" t="inlineStr">
        <is>
          <t>Réf. originale : PLA-02</t>
        </is>
      </c>
    </row>
    <row r="55" ht="60" customHeight="1">
      <c r="A55" s="10" t="inlineStr">
        <is>
          <t>SUP-08</t>
        </is>
      </c>
      <c r="B55" s="17" t="inlineStr">
        <is>
          <t>Superviseur</t>
        </is>
      </c>
      <c r="C55" s="12" t="inlineStr">
        <is>
          <t>Présence et planning</t>
        </is>
      </c>
      <c r="D55" s="12" t="inlineStr">
        <is>
          <t>Consultation des notes qualité</t>
        </is>
      </c>
      <c r="E55" s="13" t="inlineStr">
        <is>
          <t>P1</t>
        </is>
      </c>
      <c r="F55" s="12" t="inlineStr">
        <is>
          <t>Vérifier l'accès du superviseur aux notes qualité des agents</t>
        </is>
      </c>
      <c r="G55" s="12" t="inlineStr">
        <is>
          <t>Droits superviseur</t>
        </is>
      </c>
      <c r="H55" s="12" t="inlineStr">
        <is>
          <t>Ouvrir la page notes qualité</t>
        </is>
      </c>
      <c r="I55" s="12" t="inlineStr">
        <is>
          <t>Notes affichées correctement</t>
        </is>
      </c>
      <c r="J55" s="13" t="inlineStr">
        <is>
          <t>À exécuter</t>
        </is>
      </c>
      <c r="K55" s="12" t="inlineStr">
        <is>
          <t>Réf. originale : NQ-01</t>
        </is>
      </c>
    </row>
    <row r="56" ht="60" customHeight="1">
      <c r="A56" s="10" t="inlineStr">
        <is>
          <t>SUP-09</t>
        </is>
      </c>
      <c r="B56" s="17" t="inlineStr">
        <is>
          <t>Superviseur</t>
        </is>
      </c>
      <c r="C56" s="12" t="inlineStr">
        <is>
          <t>Gestion des dossiers</t>
        </is>
      </c>
      <c r="D56" s="12" t="inlineStr">
        <is>
          <t>Contrôle de la file de travail</t>
        </is>
      </c>
      <c r="E56" s="13" t="inlineStr">
        <is>
          <t>P1</t>
        </is>
      </c>
      <c r="F56" s="12" t="inlineStr">
        <is>
          <t>Vérifier le contrôle du backlog et la ventilation par agent</t>
        </is>
      </c>
      <c r="G56" s="12" t="inlineStr">
        <is>
          <t>Plusieurs dossiers et agents disponibles</t>
        </is>
      </c>
      <c r="H56" s="12" t="inlineStr">
        <is>
          <t>Afficher la file globale et filtrar par agent / statut</t>
        </is>
      </c>
      <c r="I56" s="12" t="inlineStr">
        <is>
          <t>Les volumes et répartitions sont cohérents et corrélés aux affectations</t>
        </is>
      </c>
      <c r="J56" s="13" t="inlineStr">
        <is>
          <t>À exécuter</t>
        </is>
      </c>
      <c r="K56" s="12" t="inlineStr">
        <is>
          <t>Pilotage opérationnel</t>
        </is>
      </c>
    </row>
    <row r="57" ht="60" customHeight="1">
      <c r="A57" s="10" t="inlineStr">
        <is>
          <t>SUP-10</t>
        </is>
      </c>
      <c r="B57" s="17" t="inlineStr">
        <is>
          <t>Superviseur</t>
        </is>
      </c>
      <c r="C57" s="12" t="inlineStr">
        <is>
          <t>Gestion des dossiers</t>
        </is>
      </c>
      <c r="D57" s="12" t="inlineStr">
        <is>
          <t>Escalade / pointage / signalement</t>
        </is>
      </c>
      <c r="E57" s="13" t="inlineStr">
        <is>
          <t>P1</t>
        </is>
      </c>
      <c r="F57" s="12" t="inlineStr">
        <is>
          <t>Vérifier l'alerte ou la signalisation d'un incident ou d'un dossier bloqué</t>
        </is>
      </c>
      <c r="G57" s="12" t="inlineStr">
        <is>
          <t>Dossier bloqué ou non traité depuis longtemps</t>
        </is>
      </c>
      <c r="H57" s="12" t="inlineStr">
        <is>
          <t>Déclencher l'alerte ou visualiser un signalement</t>
        </is>
      </c>
      <c r="I57" s="12" t="inlineStr">
        <is>
          <t>Le cas est visible, traçable et exploitable pour la supervision</t>
        </is>
      </c>
      <c r="J57" s="13" t="inlineStr">
        <is>
          <t>À exécuter</t>
        </is>
      </c>
      <c r="K57" s="12" t="inlineStr">
        <is>
          <t>Supervision / escalade</t>
        </is>
      </c>
    </row>
    <row r="58" ht="60" customHeight="1">
      <c r="A58" s="6" t="inlineStr">
        <is>
          <t>ADM-01</t>
        </is>
      </c>
      <c r="B58" s="18" t="inlineStr">
        <is>
          <t>Administrateur</t>
        </is>
      </c>
      <c r="C58" s="8" t="inlineStr">
        <is>
          <t>Authentification et sécurité</t>
        </is>
      </c>
      <c r="D58" s="8" t="inlineStr">
        <is>
          <t>Connexion valide</t>
        </is>
      </c>
      <c r="E58" s="9" t="inlineStr">
        <is>
          <t>P0</t>
        </is>
      </c>
      <c r="F58" s="8" t="inlineStr">
        <is>
          <t>Vérifier qu'un administrateur peut se connecter</t>
        </is>
      </c>
      <c r="G58" s="8" t="inlineStr">
        <is>
          <t>Compte admin actif (ADM002)</t>
        </is>
      </c>
      <c r="H58" s="8" t="inlineStr">
        <is>
          <t>Saisir identifiant et mot de passe valides</t>
        </is>
      </c>
      <c r="I58" s="8" t="inlineStr">
        <is>
          <t>Connexion réussie, token généré, redirection vers le tableau admin</t>
        </is>
      </c>
      <c r="J58" s="9" t="inlineStr">
        <is>
          <t>À exécuter</t>
        </is>
      </c>
      <c r="K58" s="8" t="inlineStr">
        <is>
          <t>Réf. originale : AUTH-01</t>
        </is>
      </c>
    </row>
    <row r="59" ht="60" customHeight="1">
      <c r="A59" s="10" t="inlineStr">
        <is>
          <t>ADM-02</t>
        </is>
      </c>
      <c r="B59" s="19" t="inlineStr">
        <is>
          <t>Administrateur</t>
        </is>
      </c>
      <c r="C59" s="12" t="inlineStr">
        <is>
          <t>Authentification et sécurité</t>
        </is>
      </c>
      <c r="D59" s="12" t="inlineStr">
        <is>
          <t>Verrouillage après tentatives répétées</t>
        </is>
      </c>
      <c r="E59" s="13" t="inlineStr">
        <is>
          <t>P1</t>
        </is>
      </c>
      <c r="F59" s="12" t="inlineStr">
        <is>
          <t>Vérifier le mécanisme de verrouillage de compte</t>
        </is>
      </c>
      <c r="G59" s="12" t="inlineStr">
        <is>
          <t>Compte standard ciblé</t>
        </is>
      </c>
      <c r="H59" s="12" t="inlineStr">
        <is>
          <t>Répéter des connexions erronées jusqu'au seuil</t>
        </is>
      </c>
      <c r="I59" s="12" t="inlineStr">
        <is>
          <t>Compte verrouillé après seuil défini</t>
        </is>
      </c>
      <c r="J59" s="13" t="inlineStr">
        <is>
          <t>À exécuter</t>
        </is>
      </c>
      <c r="K59" s="12" t="inlineStr">
        <is>
          <t>Réf. originale : AUTH-06</t>
        </is>
      </c>
    </row>
    <row r="60" ht="60" customHeight="1">
      <c r="A60" s="10" t="inlineStr">
        <is>
          <t>ADM-03</t>
        </is>
      </c>
      <c r="B60" s="19" t="inlineStr">
        <is>
          <t>Administrateur</t>
        </is>
      </c>
      <c r="C60" s="12" t="inlineStr">
        <is>
          <t>Administration et configuration</t>
        </is>
      </c>
      <c r="D60" s="12" t="inlineStr">
        <is>
          <t>Création d'un compte utilisateur</t>
        </is>
      </c>
      <c r="E60" s="13" t="inlineStr">
        <is>
          <t>P0</t>
        </is>
      </c>
      <c r="F60" s="12" t="inlineStr">
        <is>
          <t>Vérifier la création d'un utilisateur via l'admin</t>
        </is>
      </c>
      <c r="G60" s="12" t="inlineStr">
        <is>
          <t>Admin connecté</t>
        </is>
      </c>
      <c r="H60" s="12" t="inlineStr">
        <is>
          <t>Créer un nouvel utilisateur (rôle, identifiant, mot de passe)</t>
        </is>
      </c>
      <c r="I60" s="12" t="inlineStr">
        <is>
          <t>Compte créé avec bon rôle et mot de passe initial</t>
        </is>
      </c>
      <c r="J60" s="13" t="inlineStr">
        <is>
          <t>À exécuter</t>
        </is>
      </c>
      <c r="K60" s="12" t="inlineStr">
        <is>
          <t>Réf. originale : ADM-01</t>
        </is>
      </c>
    </row>
    <row r="61" ht="60" customHeight="1">
      <c r="A61" s="10" t="inlineStr">
        <is>
          <t>ADM-04</t>
        </is>
      </c>
      <c r="B61" s="19" t="inlineStr">
        <is>
          <t>Administrateur</t>
        </is>
      </c>
      <c r="C61" s="12" t="inlineStr">
        <is>
          <t>Administration et configuration</t>
        </is>
      </c>
      <c r="D61" s="12" t="inlineStr">
        <is>
          <t>Réinitialisation du mot de passe</t>
        </is>
      </c>
      <c r="E61" s="13" t="inlineStr">
        <is>
          <t>P1</t>
        </is>
      </c>
      <c r="F61" s="12" t="inlineStr">
        <is>
          <t>Vérifier le reset du mot de passe d'un utilisateur</t>
        </is>
      </c>
      <c r="G61" s="12" t="inlineStr">
        <is>
          <t>Utilisateur existant</t>
        </is>
      </c>
      <c r="H61" s="12" t="inlineStr">
        <is>
          <t>Exécuter la réinitialisation depuis l'admin</t>
        </is>
      </c>
      <c r="I61" s="12" t="inlineStr">
        <is>
          <t>Nouveau mot de passe défini et fonctionnel</t>
        </is>
      </c>
      <c r="J61" s="13" t="inlineStr">
        <is>
          <t>À exécuter</t>
        </is>
      </c>
      <c r="K61" s="12" t="inlineStr">
        <is>
          <t>Réf. originale : ADM-02</t>
        </is>
      </c>
    </row>
    <row r="62" ht="60" customHeight="1">
      <c r="A62" s="10" t="inlineStr">
        <is>
          <t>ADM-05</t>
        </is>
      </c>
      <c r="B62" s="19" t="inlineStr">
        <is>
          <t>Administrateur</t>
        </is>
      </c>
      <c r="C62" s="12" t="inlineStr">
        <is>
          <t>Administration et configuration</t>
        </is>
      </c>
      <c r="D62" s="12" t="inlineStr">
        <is>
          <t>Bloquage / déblocage de compte</t>
        </is>
      </c>
      <c r="E62" s="13" t="inlineStr">
        <is>
          <t>P1</t>
        </is>
      </c>
      <c r="F62" s="12" t="inlineStr">
        <is>
          <t>Vérifier la désactivation temporaire d'un compte utilisateur</t>
        </is>
      </c>
      <c r="G62" s="12" t="inlineStr">
        <is>
          <t>Compte actif existant</t>
        </is>
      </c>
      <c r="H62" s="12" t="inlineStr">
        <is>
          <t>Bloquer, puis débloquer le compte depuis l'administration</t>
        </is>
      </c>
      <c r="I62" s="12" t="inlineStr">
        <is>
          <t>Le compte répond correctement à la politique de sécurité active / inactive</t>
        </is>
      </c>
      <c r="J62" s="13" t="inlineStr">
        <is>
          <t>À exécuter</t>
        </is>
      </c>
      <c r="K62" s="12" t="inlineStr">
        <is>
          <t>Sécurité compte</t>
        </is>
      </c>
    </row>
    <row r="63" ht="60" customHeight="1">
      <c r="A63" s="10" t="inlineStr">
        <is>
          <t>ADM-06</t>
        </is>
      </c>
      <c r="B63" s="19" t="inlineStr">
        <is>
          <t>Administrateur</t>
        </is>
      </c>
      <c r="C63" s="12" t="inlineStr">
        <is>
          <t>Administration et configuration</t>
        </is>
      </c>
      <c r="D63" s="12" t="inlineStr">
        <is>
          <t>Configuration du mode de distribution</t>
        </is>
      </c>
      <c r="E63" s="13" t="inlineStr">
        <is>
          <t>P1</t>
        </is>
      </c>
      <c r="F63" s="12" t="inlineStr">
        <is>
          <t>Vérifier la mise à jour du mode de distribution des dossiers</t>
        </is>
      </c>
      <c r="G63" s="12" t="inlineStr">
        <is>
          <t>Admin connecté</t>
        </is>
      </c>
      <c r="H63" s="12" t="inlineStr">
        <is>
          <t>Modifier la configuration</t>
        </is>
      </c>
      <c r="I63" s="12" t="inlineStr">
        <is>
          <t>Nouvelle valeur sauvegardée</t>
        </is>
      </c>
      <c r="J63" s="13" t="inlineStr">
        <is>
          <t>À exécuter</t>
        </is>
      </c>
      <c r="K63" s="12" t="inlineStr">
        <is>
          <t>Réf. originale : ADM-03</t>
        </is>
      </c>
    </row>
    <row r="64" ht="60" customHeight="1">
      <c r="A64" s="10" t="inlineStr">
        <is>
          <t>ADM-07</t>
        </is>
      </c>
      <c r="B64" s="19" t="inlineStr">
        <is>
          <t>Administrateur</t>
        </is>
      </c>
      <c r="C64" s="12" t="inlineStr">
        <is>
          <t>Administration et configuration</t>
        </is>
      </c>
      <c r="D64" s="12" t="inlineStr">
        <is>
          <t>Configuration seuil d'alerte</t>
        </is>
      </c>
      <c r="E64" s="13" t="inlineStr">
        <is>
          <t>P1</t>
        </is>
      </c>
      <c r="F64" s="12" t="inlineStr">
        <is>
          <t>Vérifier la sauvegarde du seuil d'alerte</t>
        </is>
      </c>
      <c r="G64" s="12" t="inlineStr">
        <is>
          <t>Admin connecté</t>
        </is>
      </c>
      <c r="H64" s="12" t="inlineStr">
        <is>
          <t>Modifier le seuil</t>
        </is>
      </c>
      <c r="I64" s="12" t="inlineStr">
        <is>
          <t>Seuil correctement enregistré</t>
        </is>
      </c>
      <c r="J64" s="13" t="inlineStr">
        <is>
          <t>À exécuter</t>
        </is>
      </c>
      <c r="K64" s="12" t="inlineStr">
        <is>
          <t>Réf. originale : ADM-04</t>
        </is>
      </c>
    </row>
    <row r="65" ht="60" customHeight="1">
      <c r="A65" s="10" t="inlineStr">
        <is>
          <t>ADM-08</t>
        </is>
      </c>
      <c r="B65" s="19" t="inlineStr">
        <is>
          <t>Administrateur</t>
        </is>
      </c>
      <c r="C65" s="12" t="inlineStr">
        <is>
          <t>Administration et configuration</t>
        </is>
      </c>
      <c r="D65" s="12" t="inlineStr">
        <is>
          <t>Purge de données</t>
        </is>
      </c>
      <c r="E65" s="13" t="inlineStr">
        <is>
          <t>P1</t>
        </is>
      </c>
      <c r="F65" s="12" t="inlineStr">
        <is>
          <t>Vérifier la purge avec aperçu</t>
        </is>
      </c>
      <c r="G65" s="12" t="inlineStr">
        <is>
          <t>Admin connecté</t>
        </is>
      </c>
      <c r="H65" s="12" t="inlineStr">
        <is>
          <t>Exécuter l'aperçu puis la purge</t>
        </is>
      </c>
      <c r="I65" s="12" t="inlineStr">
        <is>
          <t>Données purgées selon les règles</t>
        </is>
      </c>
      <c r="J65" s="13" t="inlineStr">
        <is>
          <t>À exécuter</t>
        </is>
      </c>
      <c r="K65" s="12" t="inlineStr">
        <is>
          <t>Réf. originale : ADM-05</t>
        </is>
      </c>
    </row>
    <row r="66" ht="60" customHeight="1">
      <c r="A66" s="10" t="inlineStr">
        <is>
          <t>ADM-09</t>
        </is>
      </c>
      <c r="B66" s="19" t="inlineStr">
        <is>
          <t>Administrateur</t>
        </is>
      </c>
      <c r="C66" s="12" t="inlineStr">
        <is>
          <t>Administration et configuration</t>
        </is>
      </c>
      <c r="D66" s="12" t="inlineStr">
        <is>
          <t>Audit et journal</t>
        </is>
      </c>
      <c r="E66" s="13" t="inlineStr">
        <is>
          <t>P1</t>
        </is>
      </c>
      <c r="F66" s="12" t="inlineStr">
        <is>
          <t>Vérifier la traçabilité des actions sensibles</t>
        </is>
      </c>
      <c r="G66" s="12" t="inlineStr">
        <is>
          <t>Admin connecté</t>
        </is>
      </c>
      <c r="H66" s="12" t="inlineStr">
        <is>
          <t>Consulter l'audit</t>
        </is>
      </c>
      <c r="I66" s="12" t="inlineStr">
        <is>
          <t>Événements correctement enregistrés</t>
        </is>
      </c>
      <c r="J66" s="13" t="inlineStr">
        <is>
          <t>À exécuter</t>
        </is>
      </c>
      <c r="K66" s="12" t="inlineStr">
        <is>
          <t>Réf. originale : ADM-06</t>
        </is>
      </c>
    </row>
    <row r="67" ht="60" customHeight="1">
      <c r="A67" s="10" t="inlineStr">
        <is>
          <t>ADM-10</t>
        </is>
      </c>
      <c r="B67" s="19" t="inlineStr">
        <is>
          <t>Administrateur</t>
        </is>
      </c>
      <c r="C67" s="12" t="inlineStr">
        <is>
          <t>Administration et configuration</t>
        </is>
      </c>
      <c r="D67" s="12" t="inlineStr">
        <is>
          <t>Restauration de configuration / rollback</t>
        </is>
      </c>
      <c r="E67" s="13" t="inlineStr">
        <is>
          <t>P1</t>
        </is>
      </c>
      <c r="F67" s="12" t="inlineStr">
        <is>
          <t>Vérifier la récupération d'une version antérieure des paramètres applicatifs</t>
        </is>
      </c>
      <c r="G67" s="12" t="inlineStr">
        <is>
          <t>Modifs de configuration déjà faites</t>
        </is>
      </c>
      <c r="H67" s="12" t="inlineStr">
        <is>
          <t>Sélectionner un paramètre et restaurer une valeur précédente</t>
        </is>
      </c>
      <c r="I67" s="12" t="inlineStr">
        <is>
          <t>L'état est cohérent et traçable</t>
        </is>
      </c>
      <c r="J67" s="13" t="inlineStr">
        <is>
          <t>À exécuter</t>
        </is>
      </c>
      <c r="K67" s="12" t="inlineStr">
        <is>
          <t>Gestion config / rollback</t>
        </is>
      </c>
    </row>
    <row r="68" ht="60" customHeight="1">
      <c r="A68" s="10" t="inlineStr">
        <is>
          <t>ADM-11</t>
        </is>
      </c>
      <c r="B68" s="19" t="inlineStr">
        <is>
          <t>Administrateur</t>
        </is>
      </c>
      <c r="C68" s="12" t="inlineStr">
        <is>
          <t>Intégration API et robustesse</t>
        </is>
      </c>
      <c r="D68" s="12" t="inlineStr">
        <is>
          <t>Validation des entrées</t>
        </is>
      </c>
      <c r="E68" s="13" t="inlineStr">
        <is>
          <t>P0</t>
        </is>
      </c>
      <c r="F68" s="12" t="inlineStr">
        <is>
          <t>Vérifier la validation des champs obligatoires sur l'API</t>
        </is>
      </c>
      <c r="G68" s="12" t="inlineStr">
        <is>
          <t>Appel API avec données incomplètes</t>
        </is>
      </c>
      <c r="H68" s="12" t="inlineStr">
        <is>
          <t>Soumettre un payload invalide</t>
        </is>
      </c>
      <c r="I68" s="12" t="inlineStr">
        <is>
          <t>Erreur métier ou validation retournée</t>
        </is>
      </c>
      <c r="J68" s="13" t="inlineStr">
        <is>
          <t>À exécuter</t>
        </is>
      </c>
      <c r="K68" s="12" t="inlineStr">
        <is>
          <t>Réf. originale : API-01</t>
        </is>
      </c>
    </row>
    <row r="69" ht="60" customHeight="1">
      <c r="A69" s="10" t="inlineStr">
        <is>
          <t>ADM-12</t>
        </is>
      </c>
      <c r="B69" s="19" t="inlineStr">
        <is>
          <t>Administrateur</t>
        </is>
      </c>
      <c r="C69" s="12" t="inlineStr">
        <is>
          <t>Intégration API et robustesse</t>
        </is>
      </c>
      <c r="D69" s="12" t="inlineStr">
        <is>
          <t>Gestion des erreurs 404/500</t>
        </is>
      </c>
      <c r="E69" s="13" t="inlineStr">
        <is>
          <t>P1</t>
        </is>
      </c>
      <c r="F69" s="12" t="inlineStr">
        <is>
          <t>Vérifier la réponse correcte aux routes inexistantes ou erreurs serveur</t>
        </is>
      </c>
      <c r="G69" s="12" t="inlineStr">
        <is>
          <t>Appel à une route inexistante</t>
        </is>
      </c>
      <c r="H69" s="12" t="inlineStr">
        <is>
          <t>Exécuter la requête</t>
        </is>
      </c>
      <c r="I69" s="12" t="inlineStr">
        <is>
          <t>Réponse structurée avec message clair</t>
        </is>
      </c>
      <c r="J69" s="13" t="inlineStr">
        <is>
          <t>À exécuter</t>
        </is>
      </c>
      <c r="K69" s="12" t="inlineStr">
        <is>
          <t>Réf. originale : API-02</t>
        </is>
      </c>
    </row>
    <row r="70" ht="60" customHeight="1">
      <c r="A70" s="10" t="inlineStr">
        <is>
          <t>ADM-13</t>
        </is>
      </c>
      <c r="B70" s="19" t="inlineStr">
        <is>
          <t>Administrateur</t>
        </is>
      </c>
      <c r="C70" s="12" t="inlineStr">
        <is>
          <t>Intégration API et robustesse</t>
        </is>
      </c>
      <c r="D70" s="12" t="inlineStr">
        <is>
          <t>Limitation de débit</t>
        </is>
      </c>
      <c r="E70" s="13" t="inlineStr">
        <is>
          <t>P1</t>
        </is>
      </c>
      <c r="F70" s="12" t="inlineStr">
        <is>
          <t>Vérifier le rate limiting de l'API</t>
        </is>
      </c>
      <c r="G70" s="12" t="inlineStr">
        <is>
          <t>Utilisateur connecté</t>
        </is>
      </c>
      <c r="H70" s="12" t="inlineStr">
        <is>
          <t>Répéter rapidement les requêtes</t>
        </is>
      </c>
      <c r="I70" s="12" t="inlineStr">
        <is>
          <t>Limitation appliquée si seuil dépassé</t>
        </is>
      </c>
      <c r="J70" s="13" t="inlineStr">
        <is>
          <t>À exécuter</t>
        </is>
      </c>
      <c r="K70" s="12" t="inlineStr">
        <is>
          <t>Réf. originale : API-03</t>
        </is>
      </c>
    </row>
    <row r="71" ht="60" customHeight="1">
      <c r="A71" s="10" t="inlineStr">
        <is>
          <t>ADM-14</t>
        </is>
      </c>
      <c r="B71" s="19" t="inlineStr">
        <is>
          <t>Administrateur</t>
        </is>
      </c>
      <c r="C71" s="12" t="inlineStr">
        <is>
          <t>Intégration API et robustesse</t>
        </is>
      </c>
      <c r="D71" s="12" t="inlineStr">
        <is>
          <t>Autorisation sur route publique</t>
        </is>
      </c>
      <c r="E71" s="13" t="inlineStr">
        <is>
          <t>P0</t>
        </is>
      </c>
      <c r="F71" s="12" t="inlineStr">
        <is>
          <t>Vérifier le contrôle d'accès des routes publiques</t>
        </is>
      </c>
      <c r="G71" s="12" t="inlineStr">
        <is>
          <t>Sans authentification</t>
        </is>
      </c>
      <c r="H71" s="12" t="inlineStr">
        <is>
          <t>Appeler une route publique attendue</t>
        </is>
      </c>
      <c r="I71" s="12" t="inlineStr">
        <is>
          <t>Réponse conforme aux règles</t>
        </is>
      </c>
      <c r="J71" s="13" t="inlineStr">
        <is>
          <t>À exécuter</t>
        </is>
      </c>
      <c r="K71" s="12" t="inlineStr">
        <is>
          <t>Réf. originale : API-04</t>
        </is>
      </c>
    </row>
    <row r="72" ht="60" customHeight="1">
      <c r="A72" s="10" t="inlineStr">
        <is>
          <t>ADM-15</t>
        </is>
      </c>
      <c r="B72" s="19" t="inlineStr">
        <is>
          <t>Administrateur</t>
        </is>
      </c>
      <c r="C72" s="12" t="inlineStr">
        <is>
          <t>Intégration API et robustesse</t>
        </is>
      </c>
      <c r="D72" s="12" t="inlineStr">
        <is>
          <t>Sécurité des fichiers / téléchargement</t>
        </is>
      </c>
      <c r="E72" s="13" t="inlineStr">
        <is>
          <t>P1</t>
        </is>
      </c>
      <c r="F72" s="12" t="inlineStr">
        <is>
          <t>Vérifier que les pièces jointes et documents ne sont pas exploités sans contrôle</t>
        </is>
      </c>
      <c r="G72" s="12" t="inlineStr">
        <is>
          <t>Documents et URLs de téléchargement disponibles</t>
        </is>
      </c>
      <c r="H72" s="12" t="inlineStr">
        <is>
          <t>Tester les téléchargements sans role ou avec role insuffisant</t>
        </is>
      </c>
      <c r="I72" s="12" t="inlineStr">
        <is>
          <t>Le système bloque tout accès non autorisé et renvoie une réponse sécurisée</t>
        </is>
      </c>
      <c r="J72" s="13" t="inlineStr">
        <is>
          <t>À exécuter</t>
        </is>
      </c>
      <c r="K72" s="12" t="inlineStr">
        <is>
          <t>Sécurité fichiers</t>
        </is>
      </c>
    </row>
    <row r="73" ht="60" customHeight="1">
      <c r="A73" s="10" t="inlineStr">
        <is>
          <t>ADM-16</t>
        </is>
      </c>
      <c r="B73" s="19" t="inlineStr">
        <is>
          <t>Administrateur</t>
        </is>
      </c>
      <c r="C73" s="12" t="inlineStr">
        <is>
          <t>Intégration API et robustesse</t>
        </is>
      </c>
      <c r="D73" s="12" t="inlineStr">
        <is>
          <t>Cadrage complet des logs et traces</t>
        </is>
      </c>
      <c r="E73" s="13" t="inlineStr">
        <is>
          <t>P1</t>
        </is>
      </c>
      <c r="F73" s="12" t="inlineStr">
        <is>
          <t>Vérifier la traçabilité des opérations importantes sans divulguer de données sensibles</t>
        </is>
      </c>
      <c r="G73" s="12" t="inlineStr">
        <is>
          <t>Événements métier et erreurs</t>
        </is>
      </c>
      <c r="H73" s="12" t="inlineStr">
        <is>
          <t>Lancer des actions critiques et consulter les logs</t>
        </is>
      </c>
      <c r="I73" s="12" t="inlineStr">
        <is>
          <t>Les traces sont exploitables et les données sensibles sont bien masquées</t>
        </is>
      </c>
      <c r="J73" s="13" t="inlineStr">
        <is>
          <t>À exécuter</t>
        </is>
      </c>
      <c r="K73" s="12" t="inlineStr">
        <is>
          <t>Audit / observabilité</t>
        </is>
      </c>
    </row>
    <row r="74" ht="60" customHeight="1">
      <c r="A74" s="6" t="inlineStr">
        <is>
          <t>PUB-01</t>
        </is>
      </c>
      <c r="B74" s="20" t="inlineStr">
        <is>
          <t>Utilisateur public</t>
        </is>
      </c>
      <c r="C74" s="8" t="inlineStr">
        <is>
          <t>Parcours public / onboarding</t>
        </is>
      </c>
      <c r="D74" s="8" t="inlineStr">
        <is>
          <t>Accès au formulaire public</t>
        </is>
      </c>
      <c r="E74" s="9" t="inlineStr">
        <is>
          <t>P0</t>
        </is>
      </c>
      <c r="F74" s="8" t="inlineStr">
        <is>
          <t>Vérifier que le public peut ouvrir le parcours de KYC sans authentification</t>
        </is>
      </c>
      <c r="G74" s="8" t="inlineStr">
        <is>
          <t>Aucun compte utilisateur requis</t>
        </is>
      </c>
      <c r="H74" s="8" t="inlineStr">
        <is>
          <t>Ouvrir le formulaire public depuis le site web ou le lien fourni</t>
        </is>
      </c>
      <c r="I74" s="8" t="inlineStr">
        <is>
          <t>La page s'affiche correctement et le parcours démarre sans erreur</t>
        </is>
      </c>
      <c r="J74" s="9" t="inlineStr">
        <is>
          <t>À exécuter</t>
        </is>
      </c>
      <c r="K74" s="8" t="inlineStr">
        <is>
          <t>Cité / onboarding public</t>
        </is>
      </c>
    </row>
    <row r="75" ht="60" customHeight="1">
      <c r="A75" s="10" t="inlineStr">
        <is>
          <t>PUB-02</t>
        </is>
      </c>
      <c r="B75" s="21" t="inlineStr">
        <is>
          <t>Utilisateur public</t>
        </is>
      </c>
      <c r="C75" s="12" t="inlineStr">
        <is>
          <t>Parcours public / onboarding</t>
        </is>
      </c>
      <c r="D75" s="12" t="inlineStr">
        <is>
          <t>Saisie des données personnelles</t>
        </is>
      </c>
      <c r="E75" s="13" t="inlineStr">
        <is>
          <t>P0</t>
        </is>
      </c>
      <c r="F75" s="12" t="inlineStr">
        <is>
          <t>Vérifier la collecte correcte des infos de base du public</t>
        </is>
      </c>
      <c r="G75" s="12" t="inlineStr">
        <is>
          <t>Formulaire public ouvert</t>
        </is>
      </c>
      <c r="H75" s="12" t="inlineStr">
        <is>
          <t>Saisir nom, prénom, email, téléphone, pièce d'identité, consentements</t>
        </is>
      </c>
      <c r="I75" s="12" t="inlineStr">
        <is>
          <t>Les informations sont validées, enregistrées et visibles dans le dossier associé</t>
        </is>
      </c>
      <c r="J75" s="13" t="inlineStr">
        <is>
          <t>À exécuter</t>
        </is>
      </c>
      <c r="K75" s="12" t="inlineStr">
        <is>
          <t>Données déclaratives</t>
        </is>
      </c>
    </row>
    <row r="76" ht="60" customHeight="1">
      <c r="A76" s="10" t="inlineStr">
        <is>
          <t>PUB-03</t>
        </is>
      </c>
      <c r="B76" s="21" t="inlineStr">
        <is>
          <t>Utilisateur public</t>
        </is>
      </c>
      <c r="C76" s="12" t="inlineStr">
        <is>
          <t>Parcours public / onboarding</t>
        </is>
      </c>
      <c r="D76" s="12" t="inlineStr">
        <is>
          <t>Validation des champs obligatoires</t>
        </is>
      </c>
      <c r="E76" s="13" t="inlineStr">
        <is>
          <t>P0</t>
        </is>
      </c>
      <c r="F76" s="12" t="inlineStr">
        <is>
          <t>Vérifier le blocage des champs incomplets ou invalides pour le public</t>
        </is>
      </c>
      <c r="G76" s="12" t="inlineStr">
        <is>
          <t>Formulaire public démarré</t>
        </is>
      </c>
      <c r="H76" s="12" t="inlineStr">
        <is>
          <t>Soumettre avec des champs vides, dates invalides, formats incorrects</t>
        </is>
      </c>
      <c r="I76" s="12" t="inlineStr">
        <is>
          <t>Des messages contextuels clairs apparaissent et le formulaire reste bloqué</t>
        </is>
      </c>
      <c r="J76" s="13" t="inlineStr">
        <is>
          <t>À exécuter</t>
        </is>
      </c>
      <c r="K76" s="12" t="inlineStr">
        <is>
          <t>Validation UX</t>
        </is>
      </c>
    </row>
    <row r="77" ht="60" customHeight="1">
      <c r="A77" s="10" t="inlineStr">
        <is>
          <t>PUB-04</t>
        </is>
      </c>
      <c r="B77" s="21" t="inlineStr">
        <is>
          <t>Utilisateur public</t>
        </is>
      </c>
      <c r="C77" s="12" t="inlineStr">
        <is>
          <t>Parcours public / onboarding</t>
        </is>
      </c>
      <c r="D77" s="12" t="inlineStr">
        <is>
          <t>Consentement et politique de confidentialité</t>
        </is>
      </c>
      <c r="E77" s="13" t="inlineStr">
        <is>
          <t>P0</t>
        </is>
      </c>
      <c r="F77" s="12" t="inlineStr">
        <is>
          <t>Vérifier la collecte explicite du consentement utilisateur public</t>
        </is>
      </c>
      <c r="G77" s="12" t="inlineStr">
        <is>
          <t>Utilisateur public sur le formulaire</t>
        </is>
      </c>
      <c r="H77" s="12" t="inlineStr">
        <is>
          <t>Accepter ou refuser les conditions, puis valider la soumission</t>
        </is>
      </c>
      <c r="I77" s="12" t="inlineStr">
        <is>
          <t>Le consentement est sauvegardé et les règles d'usage correspondent au choix effectué</t>
        </is>
      </c>
      <c r="J77" s="13" t="inlineStr">
        <is>
          <t>À exécuter</t>
        </is>
      </c>
      <c r="K77" s="12" t="inlineStr">
        <is>
          <t>RGPD / consentement</t>
        </is>
      </c>
    </row>
    <row r="78" ht="60" customHeight="1">
      <c r="A78" s="10" t="inlineStr">
        <is>
          <t>PUB-05</t>
        </is>
      </c>
      <c r="B78" s="21" t="inlineStr">
        <is>
          <t>Utilisateur public</t>
        </is>
      </c>
      <c r="C78" s="12" t="inlineStr">
        <is>
          <t>Parcours public / onboarding</t>
        </is>
      </c>
      <c r="D78" s="12" t="inlineStr">
        <is>
          <t>Upload photo CNI / document</t>
        </is>
      </c>
      <c r="E78" s="13" t="inlineStr">
        <is>
          <t>P0</t>
        </is>
      </c>
      <c r="F78" s="12" t="inlineStr">
        <is>
          <t>Vérifier l’upload du document public côté web/mobile</t>
        </is>
      </c>
      <c r="G78" s="12" t="inlineStr">
        <is>
          <t>Parcours public en cours</t>
        </is>
      </c>
      <c r="H78" s="12" t="inlineStr">
        <is>
          <t>Téléverser le recto, verso et/ou document de support</t>
        </is>
      </c>
      <c r="I78" s="12" t="inlineStr">
        <is>
          <t>Le document est bien stocké, associé à la demande et visible dans le dossier</t>
        </is>
      </c>
      <c r="J78" s="13" t="inlineStr">
        <is>
          <t>À exécuter</t>
        </is>
      </c>
      <c r="K78" s="12" t="inlineStr">
        <is>
          <t>Upload document public</t>
        </is>
      </c>
    </row>
    <row r="79" ht="60" customHeight="1">
      <c r="A79" s="10" t="inlineStr">
        <is>
          <t>PUB-06</t>
        </is>
      </c>
      <c r="B79" s="21" t="inlineStr">
        <is>
          <t>Utilisateur public</t>
        </is>
      </c>
      <c r="C79" s="12" t="inlineStr">
        <is>
          <t>Parcours public / onboarding</t>
        </is>
      </c>
      <c r="D79" s="12" t="inlineStr">
        <is>
          <t>OCR du document public</t>
        </is>
      </c>
      <c r="E79" s="13" t="inlineStr">
        <is>
          <t>P1</t>
        </is>
      </c>
      <c r="F79" s="12" t="inlineStr">
        <is>
          <t>Vérifier l'extraction automatique des informations sur le document public</t>
        </is>
      </c>
      <c r="G79" s="12" t="inlineStr">
        <is>
          <t>Document de type pièce d'identité valide</t>
        </is>
      </c>
      <c r="H79" s="12" t="inlineStr">
        <is>
          <t>Lancer l'OCR et contrôler les champs préremplis</t>
        </is>
      </c>
      <c r="I79" s="12" t="inlineStr">
        <is>
          <t>Les données extraites sont cohérentes et peuvent être validées ou corrigées</t>
        </is>
      </c>
      <c r="J79" s="13" t="inlineStr">
        <is>
          <t>À exécuter</t>
        </is>
      </c>
      <c r="K79" s="12" t="inlineStr">
        <is>
          <t>Extraction / qualité donnée</t>
        </is>
      </c>
    </row>
    <row r="80" ht="60" customHeight="1">
      <c r="A80" s="10" t="inlineStr">
        <is>
          <t>PUB-07</t>
        </is>
      </c>
      <c r="B80" s="21" t="inlineStr">
        <is>
          <t>Utilisateur public</t>
        </is>
      </c>
      <c r="C80" s="12" t="inlineStr">
        <is>
          <t>Parcours public / onboarding</t>
        </is>
      </c>
      <c r="D80" s="12" t="inlineStr">
        <is>
          <t>Fallback OCR public / saisie manuelle</t>
        </is>
      </c>
      <c r="E80" s="13" t="inlineStr">
        <is>
          <t>P1</t>
        </is>
      </c>
      <c r="F80" s="12" t="inlineStr">
        <is>
          <t>Vérifier le comportement si l'OCR public ne fonctionne pas</t>
        </is>
      </c>
      <c r="G80" s="12" t="inlineStr">
        <is>
          <t>Service OCR indisponible ou document illisible</t>
        </is>
      </c>
      <c r="H80" s="12" t="inlineStr">
        <is>
          <t>Tenter l'OCR puis passer en saisie manuelle</t>
        </is>
      </c>
      <c r="I80" s="12" t="inlineStr">
        <is>
          <t>Le public reste en capacité de finaliser sa déclaration sans blocage</t>
        </is>
      </c>
      <c r="J80" s="13" t="inlineStr">
        <is>
          <t>À exécuter</t>
        </is>
      </c>
      <c r="K80" s="12" t="inlineStr">
        <is>
          <t>Fallback UX</t>
        </is>
      </c>
    </row>
    <row r="81" ht="60" customHeight="1">
      <c r="A81" s="10" t="inlineStr">
        <is>
          <t>PUB-08</t>
        </is>
      </c>
      <c r="B81" s="21" t="inlineStr">
        <is>
          <t>Utilisateur public</t>
        </is>
      </c>
      <c r="C81" s="12" t="inlineStr">
        <is>
          <t>Vérification faciale et liveness</t>
        </is>
      </c>
      <c r="D81" s="12" t="inlineStr">
        <is>
          <t>Capture selfie / selfie liveness public</t>
        </is>
      </c>
      <c r="E81" s="13" t="inlineStr">
        <is>
          <t>P0</t>
        </is>
      </c>
      <c r="F81" s="12" t="inlineStr">
        <is>
          <t>Vérifier la capture de selfie et la vérification faciale pour le public</t>
        </is>
      </c>
      <c r="G81" s="12" t="inlineStr">
        <is>
          <t>Formulaire public prêt</t>
        </is>
      </c>
      <c r="H81" s="12" t="inlineStr">
        <is>
          <t>Lancer la capture selfie ou le liveness public</t>
        </is>
      </c>
      <c r="I81" s="12" t="inlineStr">
        <is>
          <t>La capture est réussie, enregistrée et associée au dossier</t>
        </is>
      </c>
      <c r="J81" s="13" t="inlineStr">
        <is>
          <t>À exécuter</t>
        </is>
      </c>
      <c r="K81" s="12" t="inlineStr">
        <is>
          <t>Liveness public</t>
        </is>
      </c>
    </row>
    <row r="82" ht="60" customHeight="1">
      <c r="A82" s="10" t="inlineStr">
        <is>
          <t>PUB-09</t>
        </is>
      </c>
      <c r="B82" s="21" t="inlineStr">
        <is>
          <t>Utilisateur public</t>
        </is>
      </c>
      <c r="C82" s="12" t="inlineStr">
        <is>
          <t>Vérification faciale et liveness</t>
        </is>
      </c>
      <c r="D82" s="12" t="inlineStr">
        <is>
          <t>Échec liveness public / mauvaise qualité</t>
        </is>
      </c>
      <c r="E82" s="13" t="inlineStr">
        <is>
          <t>P1</t>
        </is>
      </c>
      <c r="F82" s="12" t="inlineStr">
        <is>
          <t>Vérifier le cas d'échec de vérification faciale pour le public</t>
        </is>
      </c>
      <c r="G82" s="12" t="inlineStr">
        <is>
          <t>Capture liveness problématique</t>
        </is>
      </c>
      <c r="H82" s="12" t="inlineStr">
        <is>
          <t>Tenter un selfie avec mauvais éclairage, masque, mouvement ou angle</t>
        </is>
      </c>
      <c r="I82" s="12" t="inlineStr">
        <is>
          <t>Le système refuse la capture avec un message utile et propose une nouvelle tentative</t>
        </is>
      </c>
      <c r="J82" s="13" t="inlineStr">
        <is>
          <t>À exécuter</t>
        </is>
      </c>
      <c r="K82" s="12" t="inlineStr">
        <is>
          <t>Qualité / rejet</t>
        </is>
      </c>
    </row>
    <row r="83" ht="60" customHeight="1">
      <c r="A83" s="10" t="inlineStr">
        <is>
          <t>PUB-10</t>
        </is>
      </c>
      <c r="B83" s="21" t="inlineStr">
        <is>
          <t>Utilisateur public</t>
        </is>
      </c>
      <c r="C83" s="12" t="inlineStr">
        <is>
          <t>Parcours public / onboarding</t>
        </is>
      </c>
      <c r="D83" s="12" t="inlineStr">
        <is>
          <t>Soumission finale et validation</t>
        </is>
      </c>
      <c r="E83" s="13" t="inlineStr">
        <is>
          <t>P0</t>
        </is>
      </c>
      <c r="F83" s="12" t="inlineStr">
        <is>
          <t>Vérifier la soumission d'une demande complète côté public</t>
        </is>
      </c>
      <c r="G83" s="12" t="inlineStr">
        <is>
          <t>Formulaire public rempli et documents joints</t>
        </is>
      </c>
      <c r="H83" s="12" t="inlineStr">
        <is>
          <t>Valider la demande finale</t>
        </is>
      </c>
      <c r="I83" s="12" t="inlineStr">
        <is>
          <t>Le dossier est transmis au backend, marqué en attente et visible par les agents concernés</t>
        </is>
      </c>
      <c r="J83" s="13" t="inlineStr">
        <is>
          <t>À exécuter</t>
        </is>
      </c>
      <c r="K83" s="12" t="inlineStr">
        <is>
          <t>Soumission finale</t>
        </is>
      </c>
    </row>
    <row r="84" ht="60" customHeight="1">
      <c r="A84" s="10" t="inlineStr">
        <is>
          <t>PUB-11</t>
        </is>
      </c>
      <c r="B84" s="21" t="inlineStr">
        <is>
          <t>Utilisateur public</t>
        </is>
      </c>
      <c r="C84" s="12" t="inlineStr">
        <is>
          <t>Parcours public / onboarding</t>
        </is>
      </c>
      <c r="D84" s="12" t="inlineStr">
        <is>
          <t>Soumission en double / idempotence</t>
        </is>
      </c>
      <c r="E84" s="13" t="inlineStr">
        <is>
          <t>P1</t>
        </is>
      </c>
      <c r="F84" s="12" t="inlineStr">
        <is>
          <t>Vérifier que le public ne peut pas envoyer plusieurs fois le même dossier par erreur</t>
        </is>
      </c>
      <c r="G84" s="12" t="inlineStr">
        <is>
          <t>Même demande ou multiple clics sur soumettre</t>
        </is>
      </c>
      <c r="H84" s="12" t="inlineStr">
        <is>
          <t>Valider deux fois la même demande ou relancer après retour réseau</t>
        </is>
      </c>
      <c r="I84" s="12" t="inlineStr">
        <is>
          <t>Le système évite le doublon ou affiche un message de duplication détectée</t>
        </is>
      </c>
      <c r="J84" s="13" t="inlineStr">
        <is>
          <t>À exécuter</t>
        </is>
      </c>
      <c r="K84" s="12" t="inlineStr">
        <is>
          <t>Idempotence / doublon</t>
        </is>
      </c>
    </row>
    <row r="85" ht="60" customHeight="1">
      <c r="A85" s="10" t="inlineStr">
        <is>
          <t>PUB-12</t>
        </is>
      </c>
      <c r="B85" s="21" t="inlineStr">
        <is>
          <t>Utilisateur public</t>
        </is>
      </c>
      <c r="C85" s="12" t="inlineStr">
        <is>
          <t>Parcours public / onboarding</t>
        </is>
      </c>
      <c r="D85" s="12" t="inlineStr">
        <is>
          <t>Réseau faible pendant soumission</t>
        </is>
      </c>
      <c r="E85" s="13" t="inlineStr">
        <is>
          <t>P0</t>
        </is>
      </c>
      <c r="F85" s="12" t="inlineStr">
        <is>
          <t>Vérifier le comportement du public avec connexion instable pendant la finalisation</t>
        </is>
      </c>
      <c r="G85" s="12" t="inlineStr">
        <is>
          <t>Public en cours de soumission sur réseau lent</t>
        </is>
      </c>
      <c r="H85" s="12" t="inlineStr">
        <is>
          <t>Couper le réseau pendant l'envoi puis réessayer</t>
        </is>
      </c>
      <c r="I85" s="12" t="inlineStr">
        <is>
          <t>La demande est sauvegardée ou bien une erreur explicite est remontée sans corruption de dossier</t>
        </is>
      </c>
      <c r="J85" s="13" t="inlineStr">
        <is>
          <t>À exécuter</t>
        </is>
      </c>
      <c r="K85" s="12" t="inlineStr">
        <is>
          <t>Réseau public</t>
        </is>
      </c>
    </row>
    <row r="86" ht="60" customHeight="1">
      <c r="A86" s="10" t="inlineStr">
        <is>
          <t>PUB-13</t>
        </is>
      </c>
      <c r="B86" s="21" t="inlineStr">
        <is>
          <t>Utilisateur public</t>
        </is>
      </c>
      <c r="C86" s="12" t="inlineStr">
        <is>
          <t>Parcours public / onboarding</t>
        </is>
      </c>
      <c r="D86" s="12" t="inlineStr">
        <is>
          <t>Retour après interruption</t>
        </is>
      </c>
      <c r="E86" s="13" t="inlineStr">
        <is>
          <t>P1</t>
        </is>
      </c>
      <c r="F86" s="12" t="inlineStr">
        <is>
          <t>Vérifier la reprise d'un parcours public interrompu</t>
        </is>
      </c>
      <c r="G86" s="12" t="inlineStr">
        <is>
          <t>Formulaire public partiellement rempli</t>
        </is>
      </c>
      <c r="H86" s="12" t="inlineStr">
        <is>
          <t>Fermer la page, la réouvrir ou revenir au lien</t>
        </is>
      </c>
      <c r="I86" s="12" t="inlineStr">
        <is>
          <t>Les données déjà saisies sont restaurées ou l'état est signalé clairement sans perte sérieuse</t>
        </is>
      </c>
      <c r="J86" s="13" t="inlineStr">
        <is>
          <t>À exécuter</t>
        </is>
      </c>
      <c r="K86" s="12" t="inlineStr">
        <is>
          <t>Récupération public</t>
        </is>
      </c>
    </row>
    <row r="87" ht="60" customHeight="1">
      <c r="A87" s="10" t="inlineStr">
        <is>
          <t>PUB-14</t>
        </is>
      </c>
      <c r="B87" s="21" t="inlineStr">
        <is>
          <t>Utilisateur public</t>
        </is>
      </c>
      <c r="C87" s="12" t="inlineStr">
        <is>
          <t>Parcours public / onboarding</t>
        </is>
      </c>
      <c r="D87" s="12" t="inlineStr">
        <is>
          <t>Abandon du parcours / annulation</t>
        </is>
      </c>
      <c r="E87" s="13" t="inlineStr">
        <is>
          <t>P1</t>
        </is>
      </c>
      <c r="F87" s="12" t="inlineStr">
        <is>
          <t>Vérifier le comportement lors d'un abandon du parcours public</t>
        </is>
      </c>
      <c r="G87" s="12" t="inlineStr">
        <is>
          <t>Parcours public en cours</t>
        </is>
      </c>
      <c r="H87" s="12" t="inlineStr">
        <is>
          <t>Cliquer sur Annuler / revenir en arrière / fermer la page</t>
        </is>
      </c>
      <c r="I87" s="12" t="inlineStr">
        <is>
          <t>L'état du dossier est cohérent, aucun dossier fantôme n'est créé en arrière-plan</t>
        </is>
      </c>
      <c r="J87" s="13" t="inlineStr">
        <is>
          <t>À exécuter</t>
        </is>
      </c>
      <c r="K87" s="12" t="inlineStr">
        <is>
          <t>Abandon / sécurité</t>
        </is>
      </c>
    </row>
    <row r="88" ht="60" customHeight="1">
      <c r="A88" s="10" t="inlineStr">
        <is>
          <t>PUB-15</t>
        </is>
      </c>
      <c r="B88" s="21" t="inlineStr">
        <is>
          <t>Utilisateur public</t>
        </is>
      </c>
      <c r="C88" s="12" t="inlineStr">
        <is>
          <t>Sécurité / confidentialité</t>
        </is>
      </c>
      <c r="D88" s="12" t="inlineStr">
        <is>
          <t>Contrôle d’accès route publique</t>
        </is>
      </c>
      <c r="E88" s="13" t="inlineStr">
        <is>
          <t>P0</t>
        </is>
      </c>
      <c r="F88" s="12" t="inlineStr">
        <is>
          <t>Vérifier que les routes publiques n'exposent pas des données sensibles</t>
        </is>
      </c>
      <c r="G88" s="12" t="inlineStr">
        <is>
          <t>Aucune session authentifiée</t>
        </is>
      </c>
      <c r="H88" s="12" t="inlineStr">
        <is>
          <t>Tenter d'accéder à des données internes ou à un dossier sans autorisation</t>
        </is>
      </c>
      <c r="I88" s="12" t="inlineStr">
        <is>
          <t>Réponse refusée ou vide selon les règles de sécurité</t>
        </is>
      </c>
      <c r="J88" s="13" t="inlineStr">
        <is>
          <t>À exécuter</t>
        </is>
      </c>
      <c r="K88" s="12" t="inlineStr">
        <is>
          <t>Sécurité publique</t>
        </is>
      </c>
    </row>
    <row r="89" ht="60" customHeight="1">
      <c r="A89" s="10" t="inlineStr">
        <is>
          <t>PUB-16</t>
        </is>
      </c>
      <c r="B89" s="21" t="inlineStr">
        <is>
          <t>Utilisateur public</t>
        </is>
      </c>
      <c r="C89" s="12" t="inlineStr">
        <is>
          <t>Sécurité / confidentialité</t>
        </is>
      </c>
      <c r="D89" s="12" t="inlineStr">
        <is>
          <t>Données sensibles masquées</t>
        </is>
      </c>
      <c r="E89" s="13" t="inlineStr">
        <is>
          <t>P1</t>
        </is>
      </c>
      <c r="F89" s="12" t="inlineStr">
        <is>
          <t>Vérifier que les données sensibles sont masquées dans les écrans publics et logs</t>
        </is>
      </c>
      <c r="G89" s="12" t="inlineStr">
        <is>
          <t>Parcours public et données de test</t>
        </is>
      </c>
      <c r="H89" s="12" t="inlineStr">
        <is>
          <t>Vérifier les contenus affichés et journaux d'erreur</t>
        </is>
      </c>
      <c r="I89" s="12" t="inlineStr">
        <is>
          <t>Aucune donnée confidentielle n'apparaît en clair dans les messages d'erreur, logs ou interfaces publiques</t>
        </is>
      </c>
      <c r="J89" s="13" t="inlineStr">
        <is>
          <t>À exécuter</t>
        </is>
      </c>
      <c r="K89" s="12" t="inlineStr">
        <is>
          <t>Confidentialité</t>
        </is>
      </c>
    </row>
  </sheetData>
  <mergeCells count="2">
    <mergeCell ref="A2:K2"/>
    <mergeCell ref="A1:K1"/>
  </mergeCells>
  <conditionalFormatting sqref="E4:E89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J4:J89">
    <cfRule type="cellIs" priority="4" operator="equal" dxfId="3">
      <formula>"À exécuter"</formula>
    </cfRule>
    <cfRule type="cellIs" priority="5" operator="equal" dxfId="2">
      <formula>"Réussi"</formula>
    </cfRule>
    <cfRule type="cellIs" priority="6" operator="equal" dxfId="0">
      <formula>"Échoué"</formula>
    </cfRule>
    <cfRule type="cellIs" priority="7" operator="equal" dxfId="4">
      <formula>"Bloqué"</formula>
    </cfRule>
    <cfRule type="cellIs" priority="8" operator="equal" dxfId="5">
      <formula>"Non applicable"</formula>
    </cfRule>
  </conditionalFormatting>
  <dataValidations count="2">
    <dataValidation sqref="E4:E89" showDropDown="0" showInputMessage="0" showErrorMessage="0" allowBlank="1" type="list">
      <formula1>"P0,P1,P2"</formula1>
    </dataValidation>
    <dataValidation sqref="J4:J89" showDropDown="0" showInputMessage="0" showErrorMessage="0" allowBlank="1" type="list">
      <formula1>"À exécuter,Réussi,Échoué,Bloqué,Non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5:D23"/>
  <sheetViews>
    <sheetView workbookViewId="0">
      <selection activeCell="A1" sqref="A1"/>
    </sheetView>
  </sheetViews>
  <sheetFormatPr baseColWidth="8" defaultRowHeight="15"/>
  <sheetData>
    <row r="15">
      <c r="A15" t="inlineStr">
        <is>
          <t>☐ Comptes de test disponibles : admin, superviseur, agent (terrain &amp; backoffice)</t>
        </is>
      </c>
    </row>
    <row r="21" ht="15" customHeight="1">
      <c r="A21" s="22" t="inlineStr">
        <is>
          <t>Agent de terrain</t>
        </is>
      </c>
      <c r="B21" s="12" t="inlineStr">
        <is>
          <t>Acquisition mobile : création de dossier, capture photo/CNI, liveness, saisie GSM, présence (compte AG001 sur application mobile)</t>
        </is>
      </c>
      <c r="C21" s="23" t="n"/>
      <c r="D21" s="23" t="n"/>
    </row>
    <row r="22" ht="15" customHeight="1">
      <c r="A22" s="22" t="inlineStr">
        <is>
          <t>Agent backoffice</t>
        </is>
      </c>
      <c r="B22" s="12" t="inlineStr">
        <is>
          <t>Traitement web post-acquisition : prise en charge, acceptation/rejet, transfert, consultation dossiers, appel vidéo (compte AG001 sur frontend web)</t>
        </is>
      </c>
      <c r="C22" s="23" t="n"/>
      <c r="D22" s="23" t="n"/>
    </row>
    <row r="23" ht="15" customHeight="1">
      <c r="A23" s="22" t="inlineStr">
        <is>
          <t>Utilisateur public</t>
        </is>
      </c>
      <c r="B23" s="12" t="inlineStr">
        <is>
          <t>Dépôt terrain, liveness session</t>
        </is>
      </c>
      <c r="C23" s="23" t="n"/>
      <c r="D23" s="23" t="n"/>
    </row>
  </sheetData>
  <mergeCells count="3">
    <mergeCell ref="B23:D23"/>
    <mergeCell ref="B22:D22"/>
    <mergeCell ref="B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7:C8"/>
  <sheetViews>
    <sheetView workbookViewId="0">
      <selection activeCell="A1" sqref="A1"/>
    </sheetView>
  </sheetViews>
  <sheetFormatPr baseColWidth="8" defaultRowHeight="15"/>
  <sheetData>
    <row r="7">
      <c r="A7" s="24" t="inlineStr">
        <is>
          <t>Agent (terrain - mobile)</t>
        </is>
      </c>
      <c r="B7" s="24" t="inlineStr">
        <is>
          <t>AG001</t>
        </is>
      </c>
      <c r="C7" s="24" t="inlineStr">
        <is>
          <t>KYCAG001#Reset</t>
        </is>
      </c>
    </row>
    <row r="8">
      <c r="A8" s="24" t="inlineStr">
        <is>
          <t>Agent (backoffice - web)</t>
        </is>
      </c>
      <c r="B8" s="24" t="inlineStr">
        <is>
          <t>AG001</t>
        </is>
      </c>
      <c r="C8" s="24" t="inlineStr">
        <is>
          <t>KYCAG001#Reset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topLeftCell="A1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4" customHeight="1">
      <c r="A1" s="25" t="inlineStr">
        <is>
          <t>TABLEAU DE BORD — SUIVI D'EXÉCUTION</t>
        </is>
      </c>
      <c r="I1" s="26" t="n"/>
      <c r="J1" s="26" t="n"/>
      <c r="K1" s="26" t="n"/>
    </row>
    <row r="2" ht="18" customHeight="1">
      <c r="A2" s="27" t="inlineStr">
        <is>
          <t>Mise à jour automatique — 86 cas de tests répartis sur 5 profils utilisateur (Agent de terrain (application mobile), Agent backoffice (frontend web), Superviseur, Administrateur, Utilisateur public)</t>
        </is>
      </c>
      <c r="I2" s="26" t="n"/>
      <c r="J2" s="26" t="n"/>
      <c r="K2" s="26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</row>
    <row r="4" ht="22" customHeight="1">
      <c r="A4" s="28" t="inlineStr">
        <is>
          <t>SYNTHÈSE GLOBALE</t>
        </is>
      </c>
      <c r="I4" s="26" t="n"/>
      <c r="J4" s="26" t="n"/>
      <c r="K4" s="26" t="n"/>
    </row>
    <row r="5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 ht="16" customHeight="1">
      <c r="A6" s="29" t="inlineStr">
        <is>
          <t>Total tests</t>
        </is>
      </c>
      <c r="B6" s="30" t="inlineStr">
        <is>
          <t>Tests P0</t>
        </is>
      </c>
      <c r="C6" s="31" t="inlineStr">
        <is>
          <t>Tests P1</t>
        </is>
      </c>
      <c r="D6" s="32" t="inlineStr">
        <is>
          <t>Tests P2</t>
        </is>
      </c>
      <c r="E6" s="32" t="inlineStr">
        <is>
          <t>Réussis</t>
        </is>
      </c>
      <c r="F6" s="30" t="inlineStr">
        <is>
          <t>Échoués</t>
        </is>
      </c>
      <c r="G6" s="31" t="inlineStr">
        <is>
          <t>Bloqués</t>
        </is>
      </c>
      <c r="H6" s="33" t="inlineStr">
        <is>
          <t>À exécuter</t>
        </is>
      </c>
      <c r="I6" s="26" t="n"/>
      <c r="J6" s="26" t="n"/>
      <c r="K6" s="26" t="n"/>
    </row>
    <row r="7" ht="30" customHeight="1">
      <c r="A7" s="34">
        <f>COUNTA('Cas de tests'!A4:A89)</f>
        <v/>
      </c>
      <c r="B7" s="35">
        <f>COUNTIF('Cas de tests'!E4:E89,"P0")</f>
        <v/>
      </c>
      <c r="C7" s="36">
        <f>COUNTIF('Cas de tests'!E4:E89,"P1")</f>
        <v/>
      </c>
      <c r="D7" s="37">
        <f>COUNTIF('Cas de tests'!E4:E89,"P2")</f>
        <v/>
      </c>
      <c r="E7" s="37">
        <f>COUNTIF('Cas de tests'!J4:J89,"Réussi")</f>
        <v/>
      </c>
      <c r="F7" s="35">
        <f>COUNTIF('Cas de tests'!J4:J89,"Échoué")</f>
        <v/>
      </c>
      <c r="G7" s="36">
        <f>COUNTIF('Cas de tests'!J4:J89,"Bloqué")</f>
        <v/>
      </c>
      <c r="H7" s="38">
        <f>COUNTIF('Cas de tests'!J4:J89,"À exécuter")</f>
        <v/>
      </c>
      <c r="I7" s="26" t="n"/>
      <c r="J7" s="26" t="n"/>
      <c r="K7" s="26" t="n"/>
    </row>
    <row r="8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</row>
    <row r="9" ht="16" customHeight="1">
      <c r="A9" s="29" t="inlineStr">
        <is>
          <t>Taux de réussite global</t>
        </is>
      </c>
      <c r="B9" s="29" t="inlineStr">
        <is>
          <t>Taux de réussite P0</t>
        </is>
      </c>
      <c r="C9" s="29" t="inlineStr">
        <is>
          <t>Non applicables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</row>
    <row r="10" ht="26" customHeight="1">
      <c r="A10" s="39">
        <f>IFERROR(COUNTIF('Cas de tests'!J4:J89,"Réussi")/COUNTA('Cas de tests'!A4:A89),0)</f>
        <v/>
      </c>
      <c r="B10" s="39">
        <f>IFERROR(COUNTIFS('Cas de tests'!E4:E89,"P0",'Cas de tests'!J4:J89,"Réussi")/COUNTIF('Cas de tests'!E4:E89,"P0"),0)</f>
        <v/>
      </c>
      <c r="C10" s="40">
        <f>COUNTIF('Cas de tests'!J4:J89,"Non applicable")</f>
        <v/>
      </c>
      <c r="D10" s="26" t="n"/>
      <c r="E10" s="26" t="n"/>
      <c r="F10" s="26" t="n"/>
      <c r="G10" s="26" t="n"/>
      <c r="H10" s="26" t="n"/>
      <c r="I10" s="26" t="n"/>
      <c r="J10" s="26" t="n"/>
      <c r="K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</row>
    <row r="12" ht="22" customHeight="1">
      <c r="A12" s="28" t="inlineStr">
        <is>
          <t>RÉPARTITION PAR PROFIL UTILISATEUR</t>
        </is>
      </c>
      <c r="I12" s="26" t="n"/>
      <c r="J12" s="26" t="n"/>
      <c r="K12" s="26" t="n"/>
    </row>
    <row r="13" ht="26" customHeight="1">
      <c r="A13" s="5" t="inlineStr">
        <is>
          <t>Rôle utilisateur</t>
        </is>
      </c>
      <c r="B13" s="5" t="inlineStr">
        <is>
          <t>Total</t>
        </is>
      </c>
      <c r="C13" s="5" t="inlineStr">
        <is>
          <t>P0</t>
        </is>
      </c>
      <c r="D13" s="5" t="inlineStr">
        <is>
          <t>Réussis</t>
        </is>
      </c>
      <c r="E13" s="5" t="inlineStr">
        <is>
          <t>Échoués</t>
        </is>
      </c>
      <c r="F13" s="5" t="inlineStr">
        <is>
          <t>Bloqués</t>
        </is>
      </c>
      <c r="G13" s="5" t="inlineStr">
        <is>
          <t>À exécuter</t>
        </is>
      </c>
      <c r="H13" s="5" t="inlineStr">
        <is>
          <t>Taux réussite</t>
        </is>
      </c>
      <c r="I13" s="26" t="n"/>
      <c r="J13" s="26" t="n"/>
      <c r="K13" s="26" t="n"/>
    </row>
    <row r="14" ht="16" customHeight="1">
      <c r="A14" s="41" t="inlineStr">
        <is>
          <t>Agent de terrain (application mobile)</t>
        </is>
      </c>
      <c r="B14" s="42">
        <f>COUNTIF('Cas de tests'!B4:B89,"Agent de terrain (application mobile)")</f>
        <v/>
      </c>
      <c r="C14" s="42">
        <f>COUNTIFS('Cas de tests'!B4:B89,"Agent de terrain (application mobile)",'Cas de tests'!E4:E89,"P0")</f>
        <v/>
      </c>
      <c r="D14" s="42">
        <f>COUNTIFS('Cas de tests'!B4:B89,"Agent de terrain (application mobile)",'Cas de tests'!J4:J89,"Réussi")</f>
        <v/>
      </c>
      <c r="E14" s="42">
        <f>COUNTIFS('Cas de tests'!B4:B89,"Agent de terrain (application mobile)",'Cas de tests'!J4:J89,"Échoué")</f>
        <v/>
      </c>
      <c r="F14" s="42">
        <f>COUNTIFS('Cas de tests'!B4:B89,"Agent de terrain (application mobile)",'Cas de tests'!J4:J89,"Bloqué")</f>
        <v/>
      </c>
      <c r="G14" s="42">
        <f>COUNTIFS('Cas de tests'!B4:B89,"Agent de terrain (application mobile)",'Cas de tests'!J4:J89,"À exécuter")</f>
        <v/>
      </c>
      <c r="H14" s="43">
        <f>IFERROR(D14/B14,0)</f>
        <v/>
      </c>
      <c r="I14" s="26" t="n"/>
      <c r="J14" s="26" t="n"/>
      <c r="K14" s="26" t="n"/>
    </row>
    <row r="15" ht="16" customHeight="1">
      <c r="A15" s="44" t="inlineStr">
        <is>
          <t>Agent backoffice (frontend web)</t>
        </is>
      </c>
      <c r="B15" s="45">
        <f>COUNTIF('Cas de tests'!B4:B89,"Agent backoffice (frontend web)")</f>
        <v/>
      </c>
      <c r="C15" s="45">
        <f>COUNTIFS('Cas de tests'!B4:B89,"Agent backoffice (frontend web)",'Cas de tests'!E4:E89,"P0")</f>
        <v/>
      </c>
      <c r="D15" s="45">
        <f>COUNTIFS('Cas de tests'!B4:B89,"Agent backoffice (frontend web)",'Cas de tests'!J4:J89,"Réussi")</f>
        <v/>
      </c>
      <c r="E15" s="45">
        <f>COUNTIFS('Cas de tests'!B4:B89,"Agent backoffice (frontend web)",'Cas de tests'!J4:J89,"Échoué")</f>
        <v/>
      </c>
      <c r="F15" s="45">
        <f>COUNTIFS('Cas de tests'!B4:B89,"Agent backoffice (frontend web)",'Cas de tests'!J4:J89,"Bloqué")</f>
        <v/>
      </c>
      <c r="G15" s="45">
        <f>COUNTIFS('Cas de tests'!B4:B89,"Agent backoffice (frontend web)",'Cas de tests'!J4:J89,"À exécuter")</f>
        <v/>
      </c>
      <c r="H15" s="46">
        <f>IFERROR(D15/B15,0)</f>
        <v/>
      </c>
      <c r="I15" s="26" t="n"/>
      <c r="J15" s="26" t="n"/>
      <c r="K15" s="26" t="n"/>
    </row>
    <row r="16" ht="16" customHeight="1">
      <c r="A16" s="41" t="inlineStr">
        <is>
          <t>Superviseur</t>
        </is>
      </c>
      <c r="B16" s="42">
        <f>COUNTIF('Cas de tests'!B4:B89,"Superviseur")</f>
        <v/>
      </c>
      <c r="C16" s="42">
        <f>COUNTIFS('Cas de tests'!B4:B89,"Superviseur",'Cas de tests'!E4:E89,"P0")</f>
        <v/>
      </c>
      <c r="D16" s="42">
        <f>COUNTIFS('Cas de tests'!B4:B89,"Superviseur",'Cas de tests'!J4:J89,"Réussi")</f>
        <v/>
      </c>
      <c r="E16" s="42">
        <f>COUNTIFS('Cas de tests'!B4:B89,"Superviseur",'Cas de tests'!J4:J89,"Échoué")</f>
        <v/>
      </c>
      <c r="F16" s="42">
        <f>COUNTIFS('Cas de tests'!B4:B89,"Superviseur",'Cas de tests'!J4:J89,"Bloqué")</f>
        <v/>
      </c>
      <c r="G16" s="42">
        <f>COUNTIFS('Cas de tests'!B4:B89,"Superviseur",'Cas de tests'!J4:J89,"À exécuter")</f>
        <v/>
      </c>
      <c r="H16" s="43">
        <f>IFERROR(D16/B16,0)</f>
        <v/>
      </c>
      <c r="I16" s="26" t="n"/>
      <c r="J16" s="26" t="n"/>
      <c r="K16" s="26" t="n"/>
    </row>
    <row r="17" ht="16" customHeight="1">
      <c r="A17" s="44" t="inlineStr">
        <is>
          <t>Administrateur</t>
        </is>
      </c>
      <c r="B17" s="45">
        <f>COUNTIF('Cas de tests'!B4:B89,"Administrateur")</f>
        <v/>
      </c>
      <c r="C17" s="45">
        <f>COUNTIFS('Cas de tests'!B4:B89,"Administrateur",'Cas de tests'!E4:E89,"P0")</f>
        <v/>
      </c>
      <c r="D17" s="45">
        <f>COUNTIFS('Cas de tests'!B4:B89,"Administrateur",'Cas de tests'!J4:J89,"Réussi")</f>
        <v/>
      </c>
      <c r="E17" s="45">
        <f>COUNTIFS('Cas de tests'!B4:B89,"Administrateur",'Cas de tests'!J4:J89,"Échoué")</f>
        <v/>
      </c>
      <c r="F17" s="45">
        <f>COUNTIFS('Cas de tests'!B4:B89,"Administrateur",'Cas de tests'!J4:J89,"Bloqué")</f>
        <v/>
      </c>
      <c r="G17" s="45">
        <f>COUNTIFS('Cas de tests'!B4:B89,"Administrateur",'Cas de tests'!J4:J89,"À exécuter")</f>
        <v/>
      </c>
      <c r="H17" s="46">
        <f>IFERROR(D17/B17,0)</f>
        <v/>
      </c>
      <c r="I17" s="26" t="n"/>
      <c r="J17" s="26" t="n"/>
      <c r="K17" s="26" t="n"/>
    </row>
    <row r="18" ht="16" customHeight="1">
      <c r="A18" s="41" t="inlineStr">
        <is>
          <t>Utilisateur public</t>
        </is>
      </c>
      <c r="B18" s="42">
        <f>COUNTIF('Cas de tests'!B4:B89,"Utilisateur public")</f>
        <v/>
      </c>
      <c r="C18" s="42">
        <f>COUNTIFS('Cas de tests'!B4:B89,"Utilisateur public",'Cas de tests'!E4:E89,"P0")</f>
        <v/>
      </c>
      <c r="D18" s="42">
        <f>COUNTIFS('Cas de tests'!B4:B89,"Utilisateur public",'Cas de tests'!J4:J89,"Réussi")</f>
        <v/>
      </c>
      <c r="E18" s="42">
        <f>COUNTIFS('Cas de tests'!B4:B89,"Utilisateur public",'Cas de tests'!J4:J89,"Échoué")</f>
        <v/>
      </c>
      <c r="F18" s="42">
        <f>COUNTIFS('Cas de tests'!B4:B89,"Utilisateur public",'Cas de tests'!J4:J89,"Bloqué")</f>
        <v/>
      </c>
      <c r="G18" s="42">
        <f>COUNTIFS('Cas de tests'!B4:B89,"Utilisateur public",'Cas de tests'!J4:J89,"À exécuter")</f>
        <v/>
      </c>
      <c r="H18" s="43">
        <f>IFERROR(D18/B18,0)</f>
        <v/>
      </c>
      <c r="I18" s="26" t="n"/>
      <c r="J18" s="26" t="n"/>
      <c r="K18" s="26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</row>
    <row r="20" ht="22" customHeight="1">
      <c r="A20" s="28" t="inlineStr">
        <is>
          <t>RÉPARTITION PAR CATÉGORIE FONCTIONNELLE</t>
        </is>
      </c>
      <c r="I20" s="26" t="n"/>
      <c r="J20" s="26" t="n"/>
      <c r="K20" s="26" t="n"/>
    </row>
    <row r="21" ht="20" customHeight="1">
      <c r="A21" s="5" t="inlineStr">
        <is>
          <t>Catégorie</t>
        </is>
      </c>
      <c r="B21" s="5" t="inlineStr">
        <is>
          <t>Total</t>
        </is>
      </c>
      <c r="C21" s="5" t="inlineStr">
        <is>
          <t>Réussis</t>
        </is>
      </c>
      <c r="D21" s="5" t="inlineStr">
        <is>
          <t>Échoués</t>
        </is>
      </c>
      <c r="E21" s="5" t="inlineStr">
        <is>
          <t>Bloqués</t>
        </is>
      </c>
      <c r="F21" s="5" t="inlineStr">
        <is>
          <t>À exécuter</t>
        </is>
      </c>
      <c r="G21" s="26" t="n"/>
      <c r="H21" s="26" t="n"/>
      <c r="I21" s="26" t="n"/>
      <c r="J21" s="26" t="n"/>
      <c r="K21" s="26" t="n"/>
    </row>
    <row r="22" ht="16" customHeight="1">
      <c r="A22" s="41" t="inlineStr">
        <is>
          <t>Authentification et sécurité</t>
        </is>
      </c>
      <c r="B22" s="42">
        <f>COUNTIF('Cas de tests'!C4:C89,"Authentification et sécurité")</f>
        <v/>
      </c>
      <c r="C22" s="42">
        <f>COUNTIFS('Cas de tests'!C4:C89,"Authentification et sécurité",'Cas de tests'!J4:J89,"Réussi")</f>
        <v/>
      </c>
      <c r="D22" s="42">
        <f>COUNTIFS('Cas de tests'!C4:C89,"Authentification et sécurité",'Cas de tests'!J4:J89,"Échoué")</f>
        <v/>
      </c>
      <c r="E22" s="42">
        <f>COUNTIFS('Cas de tests'!C4:C89,"Authentification et sécurité",'Cas de tests'!J4:J89,"Bloqué")</f>
        <v/>
      </c>
      <c r="F22" s="42">
        <f>COUNTIFS('Cas de tests'!C4:C89,"Authentification et sécurité",'Cas de tests'!J4:J89,"À exécuter")</f>
        <v/>
      </c>
      <c r="G22" s="26" t="n"/>
      <c r="H22" s="26" t="n"/>
      <c r="I22" s="26" t="n"/>
      <c r="J22" s="26" t="n"/>
      <c r="K22" s="26" t="n"/>
    </row>
    <row r="23" ht="16" customHeight="1">
      <c r="A23" s="44" t="inlineStr">
        <is>
          <t>Gestion des dossiers</t>
        </is>
      </c>
      <c r="B23" s="45">
        <f>COUNTIF('Cas de tests'!C4:C89,"Gestion des dossiers")</f>
        <v/>
      </c>
      <c r="C23" s="45">
        <f>COUNTIFS('Cas de tests'!C4:C89,"Gestion des dossiers",'Cas de tests'!J4:J89,"Réussi")</f>
        <v/>
      </c>
      <c r="D23" s="45">
        <f>COUNTIFS('Cas de tests'!C4:C89,"Gestion des dossiers",'Cas de tests'!J4:J89,"Échoué")</f>
        <v/>
      </c>
      <c r="E23" s="45">
        <f>COUNTIFS('Cas de tests'!C4:C89,"Gestion des dossiers",'Cas de tests'!J4:J89,"Bloqué")</f>
        <v/>
      </c>
      <c r="F23" s="45">
        <f>COUNTIFS('Cas de tests'!C4:C89,"Gestion des dossiers",'Cas de tests'!J4:J89,"À exécuter")</f>
        <v/>
      </c>
      <c r="G23" s="26" t="n"/>
      <c r="H23" s="26" t="n"/>
      <c r="I23" s="26" t="n"/>
      <c r="J23" s="26" t="n"/>
      <c r="K23" s="26" t="n"/>
    </row>
    <row r="24" ht="16" customHeight="1">
      <c r="A24" s="41" t="inlineStr">
        <is>
          <t>Vérification faciale et liveness</t>
        </is>
      </c>
      <c r="B24" s="42">
        <f>COUNTIF('Cas de tests'!C4:C89,"Vérification faciale et liveness")</f>
        <v/>
      </c>
      <c r="C24" s="42">
        <f>COUNTIFS('Cas de tests'!C4:C89,"Vérification faciale et liveness",'Cas de tests'!J4:J89,"Réussi")</f>
        <v/>
      </c>
      <c r="D24" s="42">
        <f>COUNTIFS('Cas de tests'!C4:C89,"Vérification faciale et liveness",'Cas de tests'!J4:J89,"Échoué")</f>
        <v/>
      </c>
      <c r="E24" s="42">
        <f>COUNTIFS('Cas de tests'!C4:C89,"Vérification faciale et liveness",'Cas de tests'!J4:J89,"Bloqué")</f>
        <v/>
      </c>
      <c r="F24" s="42">
        <f>COUNTIFS('Cas de tests'!C4:C89,"Vérification faciale et liveness",'Cas de tests'!J4:J89,"À exécuter")</f>
        <v/>
      </c>
      <c r="G24" s="26" t="n"/>
      <c r="H24" s="26" t="n"/>
      <c r="I24" s="26" t="n"/>
      <c r="J24" s="26" t="n"/>
      <c r="K24" s="26" t="n"/>
    </row>
    <row r="25" ht="16" customHeight="1">
      <c r="A25" s="44" t="inlineStr">
        <is>
          <t>GSM / Gross Add</t>
        </is>
      </c>
      <c r="B25" s="45">
        <f>COUNTIF('Cas de tests'!C4:C89,"GSM / Gross Add")</f>
        <v/>
      </c>
      <c r="C25" s="45">
        <f>COUNTIFS('Cas de tests'!C4:C89,"GSM / Gross Add",'Cas de tests'!J4:J89,"Réussi")</f>
        <v/>
      </c>
      <c r="D25" s="45">
        <f>COUNTIFS('Cas de tests'!C4:C89,"GSM / Gross Add",'Cas de tests'!J4:J89,"Échoué")</f>
        <v/>
      </c>
      <c r="E25" s="45">
        <f>COUNTIFS('Cas de tests'!C4:C89,"GSM / Gross Add",'Cas de tests'!J4:J89,"Bloqué")</f>
        <v/>
      </c>
      <c r="F25" s="45">
        <f>COUNTIFS('Cas de tests'!C4:C89,"GSM / Gross Add",'Cas de tests'!J4:J89,"À exécuter")</f>
        <v/>
      </c>
      <c r="G25" s="26" t="n"/>
      <c r="H25" s="26" t="n"/>
      <c r="I25" s="26" t="n"/>
      <c r="J25" s="26" t="n"/>
      <c r="K25" s="26" t="n"/>
    </row>
    <row r="26" ht="16" customHeight="1">
      <c r="A26" s="41" t="inlineStr">
        <is>
          <t>Présence et planning</t>
        </is>
      </c>
      <c r="B26" s="42">
        <f>COUNTIF('Cas de tests'!C4:C89,"Présence et planning")</f>
        <v/>
      </c>
      <c r="C26" s="42">
        <f>COUNTIFS('Cas de tests'!C4:C89,"Présence et planning",'Cas de tests'!J4:J89,"Réussi")</f>
        <v/>
      </c>
      <c r="D26" s="42">
        <f>COUNTIFS('Cas de tests'!C4:C89,"Présence et planning",'Cas de tests'!J4:J89,"Échoué")</f>
        <v/>
      </c>
      <c r="E26" s="42">
        <f>COUNTIFS('Cas de tests'!C4:C89,"Présence et planning",'Cas de tests'!J4:J89,"Bloqué")</f>
        <v/>
      </c>
      <c r="F26" s="42">
        <f>COUNTIFS('Cas de tests'!C4:C89,"Présence et planning",'Cas de tests'!J4:J89,"À exécuter")</f>
        <v/>
      </c>
      <c r="G26" s="26" t="n"/>
      <c r="H26" s="26" t="n"/>
      <c r="I26" s="26" t="n"/>
      <c r="J26" s="26" t="n"/>
      <c r="K26" s="26" t="n"/>
    </row>
    <row r="27" ht="16" customHeight="1">
      <c r="A27" s="44" t="inlineStr">
        <is>
          <t>Administration et configuration</t>
        </is>
      </c>
      <c r="B27" s="45">
        <f>COUNTIF('Cas de tests'!C4:C89,"Administration et configuration")</f>
        <v/>
      </c>
      <c r="C27" s="45">
        <f>COUNTIFS('Cas de tests'!C4:C89,"Administration et configuration",'Cas de tests'!J4:J89,"Réussi")</f>
        <v/>
      </c>
      <c r="D27" s="45">
        <f>COUNTIFS('Cas de tests'!C4:C89,"Administration et configuration",'Cas de tests'!J4:J89,"Échoué")</f>
        <v/>
      </c>
      <c r="E27" s="45">
        <f>COUNTIFS('Cas de tests'!C4:C89,"Administration et configuration",'Cas de tests'!J4:J89,"Bloqué")</f>
        <v/>
      </c>
      <c r="F27" s="45">
        <f>COUNTIFS('Cas de tests'!C4:C89,"Administration et configuration",'Cas de tests'!J4:J89,"À exécuter")</f>
        <v/>
      </c>
      <c r="G27" s="26" t="n"/>
      <c r="H27" s="26" t="n"/>
      <c r="I27" s="26" t="n"/>
      <c r="J27" s="26" t="n"/>
      <c r="K27" s="26" t="n"/>
    </row>
    <row r="28" ht="16" customHeight="1">
      <c r="A28" s="41" t="inlineStr">
        <is>
          <t>Intégration API et robustesse</t>
        </is>
      </c>
      <c r="B28" s="42">
        <f>COUNTIF('Cas de tests'!C4:C89,"Intégration API et robustesse")</f>
        <v/>
      </c>
      <c r="C28" s="42">
        <f>COUNTIFS('Cas de tests'!C4:C89,"Intégration API et robustesse",'Cas de tests'!J4:J89,"Réussi")</f>
        <v/>
      </c>
      <c r="D28" s="42">
        <f>COUNTIFS('Cas de tests'!C4:C89,"Intégration API et robustesse",'Cas de tests'!J4:J89,"Échoué")</f>
        <v/>
      </c>
      <c r="E28" s="42">
        <f>COUNTIFS('Cas de tests'!C4:C89,"Intégration API et robustesse",'Cas de tests'!J4:J89,"Bloqué")</f>
        <v/>
      </c>
      <c r="F28" s="42">
        <f>COUNTIFS('Cas de tests'!C4:C89,"Intégration API et robustesse",'Cas de tests'!J4:J89,"À exécuter")</f>
        <v/>
      </c>
      <c r="G28" s="26" t="n"/>
      <c r="H28" s="26" t="n"/>
      <c r="I28" s="26" t="n"/>
      <c r="J28" s="26" t="n"/>
      <c r="K28" s="26" t="n"/>
    </row>
    <row r="29" ht="16" customHeight="1">
      <c r="A29" s="44" t="inlineStr">
        <is>
          <t>Parcours public / onboarding</t>
        </is>
      </c>
      <c r="B29" s="45">
        <f>COUNTIF('Cas de tests'!C4:C89,"Parcours public / onboarding")</f>
        <v/>
      </c>
      <c r="C29" s="45">
        <f>COUNTIFS('Cas de tests'!C4:C89,"Parcours public / onboarding",'Cas de tests'!J4:J89,"Réussi")</f>
        <v/>
      </c>
      <c r="D29" s="45">
        <f>COUNTIFS('Cas de tests'!C4:C89,"Parcours public / onboarding",'Cas de tests'!J4:J89,"Échoué")</f>
        <v/>
      </c>
      <c r="E29" s="45">
        <f>COUNTIFS('Cas de tests'!C4:C89,"Parcours public / onboarding",'Cas de tests'!J4:J89,"Bloqué")</f>
        <v/>
      </c>
      <c r="F29" s="45">
        <f>COUNTIFS('Cas de tests'!C4:C89,"Parcours public / onboarding",'Cas de tests'!J4:J89,"À exécuter")</f>
        <v/>
      </c>
      <c r="G29" s="26" t="n"/>
      <c r="H29" s="26" t="n"/>
      <c r="I29" s="26" t="n"/>
      <c r="J29" s="26" t="n"/>
      <c r="K29" s="26" t="n"/>
    </row>
    <row r="30" ht="16" customHeight="1">
      <c r="A30" s="41" t="inlineStr">
        <is>
          <t>Sécurité / confidentialité</t>
        </is>
      </c>
      <c r="B30" s="42">
        <f>COUNTIF('Cas de tests'!C4:C89,"Sécurité / confidentialité")</f>
        <v/>
      </c>
      <c r="C30" s="42">
        <f>COUNTIFS('Cas de tests'!C4:C89,"Sécurité / confidentialité",'Cas de tests'!J4:J89,"Réussi")</f>
        <v/>
      </c>
      <c r="D30" s="42">
        <f>COUNTIFS('Cas de tests'!C4:C89,"Sécurité / confidentialité",'Cas de tests'!J4:J89,"Échoué")</f>
        <v/>
      </c>
      <c r="E30" s="42">
        <f>COUNTIFS('Cas de tests'!C4:C89,"Sécurité / confidentialité",'Cas de tests'!J4:J89,"Bloqué")</f>
        <v/>
      </c>
      <c r="F30" s="42">
        <f>COUNTIFS('Cas de tests'!C4:C89,"Sécurité / confidentialité",'Cas de tests'!J4:J89,"À exécuter")</f>
        <v/>
      </c>
      <c r="G30" s="26" t="n"/>
      <c r="H30" s="26" t="n"/>
      <c r="I30" s="26" t="n"/>
      <c r="J30" s="26" t="n"/>
      <c r="K30" s="26" t="n"/>
    </row>
    <row r="31" ht="16" customHeight="1">
      <c r="A31" s="44" t="inlineStr">
        <is>
          <t>Réseau / robustesse</t>
        </is>
      </c>
      <c r="B31" s="45">
        <f>COUNTIF('Cas de tests'!C4:C89,"Réseau / robustesse")</f>
        <v/>
      </c>
      <c r="C31" s="45">
        <f>COUNTIFS('Cas de tests'!C4:C89,"Réseau / robustesse",'Cas de tests'!J4:J89,"Réussi")</f>
        <v/>
      </c>
      <c r="D31" s="45">
        <f>COUNTIFS('Cas de tests'!C4:C89,"Réseau / robustesse",'Cas de tests'!J4:J89,"Échoué")</f>
        <v/>
      </c>
      <c r="E31" s="45">
        <f>COUNTIFS('Cas de tests'!C4:C89,"Réseau / robustesse",'Cas de tests'!J4:J89,"Bloqué")</f>
        <v/>
      </c>
      <c r="F31" s="45">
        <f>COUNTIFS('Cas de tests'!C4:C89,"Réseau / robustesse",'Cas de tests'!J4:J89,"À exécuter")</f>
        <v/>
      </c>
      <c r="G31" s="26" t="n"/>
      <c r="H31" s="26" t="n"/>
      <c r="I31" s="26" t="n"/>
      <c r="J31" s="26" t="n"/>
      <c r="K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</row>
    <row r="33">
      <c r="A33" s="47" t="inlineStr">
        <is>
          <t>Ce tableau se met à jour automatiquement selon les statuts saisis dans l'onglet « Cas de tests ». Toutes les valeurs ci-dessus sont calculées par formule (COUNTA / COUNTIF / COUNTIFS) — aucune saisie manuelle requise.</t>
        </is>
      </c>
      <c r="I33" s="26" t="n"/>
      <c r="J33" s="26" t="n"/>
      <c r="K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</row>
    <row r="3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</row>
    <row r="37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</row>
    <row r="38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</row>
    <row r="40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</row>
  </sheetData>
  <mergeCells count="6">
    <mergeCell ref="A12:H12"/>
    <mergeCell ref="A4:H4"/>
    <mergeCell ref="A20:H20"/>
    <mergeCell ref="A2:H2"/>
    <mergeCell ref="A33:H33"/>
    <mergeCell ref="A1:H1"/>
  </mergeCells>
  <conditionalFormatting sqref="B14:B18">
    <cfRule type="dataBar" priority="1">
      <dataBar showValue="1">
        <cfvo type="num" val="0"/>
        <cfvo type="max"/>
        <color rgb="FF638EC6"/>
      </dataBar>
    </cfRule>
  </conditionalFormatting>
  <conditionalFormatting sqref="H14:H1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22:B31">
    <cfRule type="dataBar" priority="3">
      <dataBar showValue="1">
        <cfvo type="num" val="0"/>
        <cfvo type="max"/>
        <color rgb="FF9BC2E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2026-08-24T12:07:09Z</dcterms:created>
  <dcterms:modified xmlns:dcterms="http://purl.org/dc/terms/" xmlns:xsi="http://www.w3.org/2001/XMLSchema-instance" xsi:type="dcterms:W3CDTF">2026-08-24T12:07:10Z</dcterms:modified>
</cp:coreProperties>
</file>